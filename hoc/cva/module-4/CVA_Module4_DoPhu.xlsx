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ục lục" sheetId="1" state="visible" r:id="rId3"/>
    <sheet name="Tổng quan" sheetId="2" state="visible" r:id="rId4"/>
    <sheet name="Chi tiết theo mục" sheetId="3" state="visible" r:id="rId5"/>
    <sheet name="Cần bổ sung" sheetId="4" state="visible" r:id="rId6"/>
    <sheet name="Đề thi thử" sheetId="5" state="visible" r:id="rId7"/>
    <sheet name="Cách chấm" sheetId="6" state="visible" r:id="rId8"/>
  </sheets>
  <definedNames>
    <definedName function="false" hidden="true" localSheetId="3" name="_xlnm._FilterDatabase" vbProcedure="false">'Cần bổ sung'!$A$4:$I$28</definedName>
    <definedName function="false" hidden="true" localSheetId="2" name="_xlnm._FilterDatabase" vbProcedure="false">'Chi tiết theo mục'!$A$1:$L$106</definedName>
    <definedName function="false" hidden="true" localSheetId="4" name="_xlnm._FilterDatabase" vbProcedure="false">'Đề thi thử'!$A$4:$J$64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<sst xmlns="http://schemas.openxmlformats.org/spreadsheetml/2006/main" count="1465" uniqueCount="682">
  <si>
    <t xml:space="preserve">MỤC LỤC</t>
  </si>
  <si>
    <t xml:space="preserve">Module 4 — Valuation for Financial Reporting</t>
  </si>
  <si>
    <t xml:space="preserve">#</t>
  </si>
  <si>
    <t xml:space="preserve">Sheet</t>
  </si>
  <si>
    <t xml:space="preserve">Mô tả</t>
  </si>
  <si>
    <t xml:space="preserve">Số dòng</t>
  </si>
  <si>
    <t xml:space="preserve">Tổng quan</t>
  </si>
  <si>
    <t xml:space="preserve">Độ phủ theo từng chương, phụ lục, và kết quả 60 câu đề thi thử. Đọc sheet này trước.</t>
  </si>
  <si>
    <t xml:space="preserve">Chi tiết theo mục</t>
  </si>
  <si>
    <t xml:space="preserve">Một dòng cho mỗi mục đánh số trong giáo trình. Lọc cột "Kết quả" để tìm chỗ hụt.</t>
  </si>
  <si>
    <t xml:space="preserve">Cần bổ sung</t>
  </si>
  <si>
    <t xml:space="preserve">Chỉ các mục THIẾU và MỎNG, xếp theo rủi ro thi. Đây là danh sách việc.</t>
  </si>
  <si>
    <t xml:space="preserve">Đề thi thử</t>
  </si>
  <si>
    <t xml:space="preserve">60 câu do ACRA/SMU soạn, chấm xem file có dạy đủ để làm được không.</t>
  </si>
  <si>
    <t xml:space="preserve">Cách chấm</t>
  </si>
  <si>
    <t xml:space="preserve">Phương pháp và ba điểm mù đã biết của phép chấm này.</t>
  </si>
  <si>
    <t xml:space="preserve">ĐỘ PHỦ KIẾN THỨC THI — Module 4 — Valuation for Financial Reporting</t>
  </si>
  <si>
    <t xml:space="preserve">So cva-module4-study-vi.html với cva-prog-module4-valuation-for-financial-reporting.pdf (ACRA / SMU, ấn bản đầu 2026)</t>
  </si>
  <si>
    <t xml:space="preserve">PHẦN 1 — ĐỘ PHỦ THEO CHƯƠNG</t>
  </si>
  <si>
    <t xml:space="preserve">Chương trong giáo trình</t>
  </si>
  <si>
    <t xml:space="preserve">Trang</t>
  </si>
  <si>
    <t xml:space="preserve">Tab trong file HTML</t>
  </si>
  <si>
    <t xml:space="preserve">Số mục</t>
  </si>
  <si>
    <t xml:space="preserve">ĐỦ</t>
  </si>
  <si>
    <t xml:space="preserve">MỎNG</t>
  </si>
  <si>
    <t xml:space="preserve">THIẾU</t>
  </si>
  <si>
    <t xml:space="preserve">Không cần</t>
  </si>
  <si>
    <t xml:space="preserve">% phủ</t>
  </si>
  <si>
    <t xml:space="preserve">Đánh giá</t>
  </si>
  <si>
    <t xml:space="preserve">Ghi chú</t>
  </si>
  <si>
    <t xml:space="preserve">Chương 1 — Đo lường giá trị hợp lý (IFRS 13)</t>
  </si>
  <si>
    <t xml:space="preserve">13–59</t>
  </si>
  <si>
    <t xml:space="preserve">ch1</t>
  </si>
  <si>
    <t xml:space="preserve">Tốt</t>
  </si>
  <si>
    <t xml:space="preserve">Rủi ro thi Cao chưa đủ: 1.4.2, 1.4.7, 1.4.8, 1.4.9</t>
  </si>
  <si>
    <t xml:space="preserve">Chương 2 — Hợp nhất kinh doanh và phân bổ giá mua</t>
  </si>
  <si>
    <t xml:space="preserve">61–108</t>
  </si>
  <si>
    <t xml:space="preserve">ch2</t>
  </si>
  <si>
    <t xml:space="preserve">Rất tốt</t>
  </si>
  <si>
    <t xml:space="preserve">Rủi ro thi Cao chưa đủ: 2.4.4, 2.11</t>
  </si>
  <si>
    <t xml:space="preserve">Chương 3 — Định giá tài sản vô hình</t>
  </si>
  <si>
    <t xml:space="preserve">110–151</t>
  </si>
  <si>
    <t xml:space="preserve">ch3</t>
  </si>
  <si>
    <t xml:space="preserve">Khá</t>
  </si>
  <si>
    <t xml:space="preserve">Rủi ro thi Cao chưa đủ: 3.2, 3.3, 3.6, 3.8.1, 3.8.3, 3.8.4, 3.10</t>
  </si>
  <si>
    <t xml:space="preserve">Chương 4 — Suy giảm giá trị tài sản (IAS 36)</t>
  </si>
  <si>
    <t xml:space="preserve">153–187</t>
  </si>
  <si>
    <t xml:space="preserve">ch4</t>
  </si>
  <si>
    <t xml:space="preserve">Rủi ro thi Cao chưa đủ: 4.5.1, 4.7.2, 4.8, 4.9, 4.10</t>
  </si>
  <si>
    <t xml:space="preserve">Chương 5 — Vai trò của người định giá</t>
  </si>
  <si>
    <t xml:space="preserve">189–196</t>
  </si>
  <si>
    <t xml:space="preserve">ch5</t>
  </si>
  <si>
    <t xml:space="preserve">Rủi ro thi Cao chưa đủ: 5.2.1, 5.6</t>
  </si>
  <si>
    <t xml:space="preserve">TOÀN MODULE</t>
  </si>
  <si>
    <t xml:space="preserve">MỎNG tính nửa điểm: một mục mỏng vẫn dạy được ý chính, chỉ hụt chi tiết.</t>
  </si>
  <si>
    <t xml:space="preserve">PHẦN 2 — PHỤ LỤC VÀ ĐỀ THI THỬ TRONG GIÁO TRÌNH</t>
  </si>
  <si>
    <t xml:space="preserve">Phần</t>
  </si>
  <si>
    <t xml:space="preserve">Nơi phủ trong HTML</t>
  </si>
  <si>
    <t xml:space="preserve">Mức phủ</t>
  </si>
  <si>
    <t xml:space="preserve">Phụ lục A — danh mục chuẩn mực nghề</t>
  </si>
  <si>
    <t xml:space="preserve">199–200</t>
  </si>
  <si>
    <t xml:space="preserve">ch5 (s10)</t>
  </si>
  <si>
    <t xml:space="preserve">Có phủ</t>
  </si>
  <si>
    <t xml:space="preserve">Bảng bản đồ chuẩn mực đã dựng lại trong tab chương 5.</t>
  </si>
  <si>
    <t xml:space="preserve">Phụ lục B — Bản tin Kiểm toán số 8 của ISCA</t>
  </si>
  <si>
    <t xml:space="preserve">201</t>
  </si>
  <si>
    <t xml:space="preserve">Một phần</t>
  </si>
  <si>
    <t xml:space="preserve">Bản PDF chỉ có tiêu đề và đường dẫn, không có nội dung bản tin.</t>
  </si>
  <si>
    <t xml:space="preserve">Đề thi thử — 60 câu</t>
  </si>
  <si>
    <t xml:space="preserve">202–233</t>
  </si>
  <si>
    <t xml:space="preserve">Tab Quiz (125 câu riêng)</t>
  </si>
  <si>
    <t xml:space="preserve">Xem sheet Đề thi thử</t>
  </si>
  <si>
    <t xml:space="preserve">File ôn KHÔNG chép đề thi thử; 125 câu quiz là bộ soạn riêng.</t>
  </si>
  <si>
    <t xml:space="preserve">PHẦN 3 — ĐỀ THI THỬ 60 CÂU LÀM ĐƯỢC ĐẾN ĐÂU</t>
  </si>
  <si>
    <t xml:space="preserve">Kết quả chấm</t>
  </si>
  <si>
    <t xml:space="preserve">Số câu</t>
  </si>
  <si>
    <t xml:space="preserve">Tỷ lệ</t>
  </si>
  <si>
    <t xml:space="preserve">Nghĩa là gì</t>
  </si>
  <si>
    <t xml:space="preserve">TRẢ LỜI ĐƯỢC</t>
  </si>
  <si>
    <t xml:space="preserve">Người chỉ học file này chắc chắn làm đúng — kiến thức cần có mặt tường minh.</t>
  </si>
  <si>
    <t xml:space="preserve">RỦI RO</t>
  </si>
  <si>
    <t xml:space="preserve">Có ý liên quan nhưng hụt một mắt xích (một ngưỡng, một ngoại lệ, một bước tính) nên dễ chọn sai.</t>
  </si>
  <si>
    <t xml:space="preserve">KHÔNG</t>
  </si>
  <si>
    <t xml:space="preserve">Kiến thức cần để trả lời không có ở đâu trong file.</t>
  </si>
  <si>
    <t xml:space="preserve">Mục</t>
  </si>
  <si>
    <t xml:space="preserve">Tiêu đề trong giáo trình</t>
  </si>
  <si>
    <t xml:space="preserve">Chương</t>
  </si>
  <si>
    <t xml:space="preserve">Số từ
nguồn</t>
  </si>
  <si>
    <t xml:space="preserve">Kết quả
lần chấm</t>
  </si>
  <si>
    <t xml:space="preserve">Đã vá?</t>
  </si>
  <si>
    <t xml:space="preserve">Rủi ro thi</t>
  </si>
  <si>
    <t xml:space="preserve">Số câu
quiz</t>
  </si>
  <si>
    <t xml:space="preserve">Thiếu cụ thể cái gì</t>
  </si>
  <si>
    <t xml:space="preserve">Đã bổ sung gì</t>
  </si>
  <si>
    <t xml:space="preserve">Tín hiệu máy</t>
  </si>
  <si>
    <t xml:space="preserve">1.1</t>
  </si>
  <si>
    <t xml:space="preserve">Chapter Introduction and Learning Outcomes</t>
  </si>
  <si>
    <t xml:space="preserve">Vừa</t>
  </si>
  <si>
    <t xml:space="preserve">s1, synthesis, quiz:Q2</t>
  </si>
  <si>
    <t xml:space="preserve">1.2</t>
  </si>
  <si>
    <t xml:space="preserve">Definition of Fair Value</t>
  </si>
  <si>
    <t xml:space="preserve">Cao</t>
  </si>
  <si>
    <t xml:space="preserve">s2, s3, synthesis, quiz:Q1</t>
  </si>
  <si>
    <t xml:space="preserve">1.2.1</t>
  </si>
  <si>
    <t xml:space="preserve">Exit Price</t>
  </si>
  <si>
    <t xml:space="preserve">s2, quiz:Q1</t>
  </si>
  <si>
    <t xml:space="preserve">1.2.2</t>
  </si>
  <si>
    <t xml:space="preserve">Market-based Measurement</t>
  </si>
  <si>
    <t xml:space="preserve">s3, synthesis</t>
  </si>
  <si>
    <t xml:space="preserve">1.2.3</t>
  </si>
  <si>
    <t xml:space="preserve">Orderly Transactions</t>
  </si>
  <si>
    <t xml:space="preserve">s3, quiz:Q11</t>
  </si>
  <si>
    <t xml:space="preserve">1.3</t>
  </si>
  <si>
    <t xml:space="preserve">Fair Value Under IFRS vs Other Bases of Value</t>
  </si>
  <si>
    <t xml:space="preserve">đã vá</t>
  </si>
  <si>
    <t xml:space="preserve">Thấp</t>
  </si>
  <si>
    <t xml:space="preserve">s4</t>
  </si>
  <si>
    <t xml:space="preserve">Không nêu năm nguồn sinh ra định nghĩa cơ sở giá trị (điều khoản hợp đồng, án lệ toà án, quy định pháp luật, chuẩn mực báo cáo tài chính, IVS) — đoạn mở của 1.3 liệt kê đủ năm nguồn này.</t>
  </si>
  <si>
    <t xml:space="preserve">Thêm một dòng vào para mở đầu s4 liệt kê năm nguồn định nghĩa giá trị.</t>
  </si>
  <si>
    <t xml:space="preserve">1.3.1</t>
  </si>
  <si>
    <t xml:space="preserve">Bases of Value under IFRS</t>
  </si>
  <si>
    <t xml:space="preserve">1.3.2</t>
  </si>
  <si>
    <t xml:space="preserve">Other Bases of Value under the IVS</t>
  </si>
  <si>
    <t xml:space="preserve">s5, quiz:Q12</t>
  </si>
  <si>
    <t xml:space="preserve">1.4</t>
  </si>
  <si>
    <t xml:space="preserve">Fair Value Measurement Framework</t>
  </si>
  <si>
    <t xml:space="preserve">s6</t>
  </si>
  <si>
    <t xml:space="preserve">1.4.1</t>
  </si>
  <si>
    <t xml:space="preserve">The Particular Asset or Liability</t>
  </si>
  <si>
    <t xml:space="preserve">s6, s7, synthesis, quiz:Q9, quiz:Q17</t>
  </si>
  <si>
    <t xml:space="preserve">1.4.2</t>
  </si>
  <si>
    <t xml:space="preserve">Principal (or Most Advantageous) Market</t>
  </si>
  <si>
    <t xml:space="preserve">s8, synthesis, viz:chon-thi-truong, calc:chon-thi-truong-fv, calc:may-tinh-thi-truong, calc:laptop-thi-truong-chinh, quiz:Q3, quiz:Q4, quiz:Q13, quiz:Q14, quiz:Q15, quiz:Q16, quiz:Q20</t>
  </si>
  <si>
    <t xml:space="preserve">Thiếu hẳn quy tắc IFRS 13.17: doanh nghiệp không phải rà soát mọi thị trường khả dĩ, và khi không có bằng chứng ngược lại thì thị trường doanh nghiệp vẫn thường giao dịch ĐƯỢC MẶC ĐỊNH là thị trường chính (bản HTML chỉ có 13.B44 cho giao dịch có trật tự, không có 13.17). Cũng thiếu IFRS 13.21: kể cả khi tại ngày đo lường không có thị trường hoạt động cung cấp giá, vẫn giả định một giao dịch xảy ra tại ngày đó nhìn từ phía bên nắm tài sản/gánh nợ, và doanh nghiệp không cần thực sự bán. Ví dụ minh hoạ 1.4.2.3 về việc thị trường chính khác nhau giữa các doanh nghiệp (nhà phát triển bất động sản bán lẻ so với quỹ đầu tư bán cho tổ chức; nông dân bán lúa mì bán buôn so với siêu thị bán lẻ) cũng không được tái hiện, chỉ còn câu khái quát.</t>
  </si>
  <si>
    <t xml:space="preserve">Thêm vào s8 một warn nêu mặc định của IFRS 13.17 (thị trường thường giao dịch = thị trường chính khi không có bằng chứng ngược lại, không cần rà soát vét cạn) và một dòng IFRS 13.21 kèm một ví dụ tiếp cận thị trường khác nhau giữa hai loại doanh nghiệp.</t>
  </si>
  <si>
    <t xml:space="preserve">1.4.3</t>
  </si>
  <si>
    <t xml:space="preserve">Market Participants</t>
  </si>
  <si>
    <t xml:space="preserve">s9</t>
  </si>
  <si>
    <t xml:space="preserve">1.4.4</t>
  </si>
  <si>
    <t xml:space="preserve">Application to Non-financial Assets</t>
  </si>
  <si>
    <t xml:space="preserve">s10, s11, synthesis, quiz:Q5, quiz:Q24</t>
  </si>
  <si>
    <t xml:space="preserve">1.4.5</t>
  </si>
  <si>
    <t xml:space="preserve">Application to Liability</t>
  </si>
  <si>
    <t xml:space="preserve">s12, s13, synthesis, quiz:Q6, quiz:Q7, quiz:Q22, quiz:Q23, quiz:Q25</t>
  </si>
  <si>
    <t xml:space="preserve">1.4.6</t>
  </si>
  <si>
    <t xml:space="preserve">Application to An Entity’s Own Equity Instruments</t>
  </si>
  <si>
    <t xml:space="preserve">s13, quiz:Q8</t>
  </si>
  <si>
    <t xml:space="preserve">1.4.7</t>
  </si>
  <si>
    <t xml:space="preserve">Valuation Techniques</t>
  </si>
  <si>
    <t xml:space="preserve">s14, synthesis, quiz:Q19</t>
  </si>
  <si>
    <t xml:space="preserve">Thiếu ba thứ: (1) ví dụ số của cách tiếp cận thu nhập — dòng tiền 150.000 USD/năm trong 5 năm chiết khấu 10% ra khoảng 569.000 USD (ba kỹ thuật kia đều có ví dụ số, riêng kỹ thuật này không có); (2) IFRS 13.B12–B30 nêu tên HAI kỹ thuật hiện giá là kỹ thuật điều chỉnh tỷ lệ chiết khấu (discount rate adjustment technique) và kỹ thuật dòng tiền kỳ vọng / hiện giá kỳ vọng — HTML chỉ dùng cái thứ hai trong ví dụ giàn khoan mà không bao giờ đặt tên cặp đôi này; (3) trần giá của cách tiếp cận chi phí khi tài sản dùng chung với nhóm: giá thoát không được cao hơn số nhỏ hơn giữa chi phí người mua bỏ ra để có tài sản thay thế công năng tương đương và lợi ích kinh tế người mua thu được từ tài sản.</t>
  </si>
  <si>
    <t xml:space="preserve">Thêm vào s14 một case số cho cách tiếp cận thu nhập (150.000 × 5 năm, 10% → 569.000 USD), một deflist đặt tên hai kỹ thuật hiện giá của IFRS 13.B12–B30, và một dòng warn về trần hai vế của cách tiếp cận chi phí.</t>
  </si>
  <si>
    <t xml:space="preserve">1.4.8</t>
  </si>
  <si>
    <t xml:space="preserve">Valuation Inputs</t>
  </si>
  <si>
    <t xml:space="preserve">s6, s15, synthesis, quiz:Q9, quiz:Q18</t>
  </si>
  <si>
    <t xml:space="preserve">Thiếu nguyên tắc phần bù rủi ro của IFRS 13.69: bên tham gia thị trường đòi được đền bù cho sự bất định trong dòng tiền, nên phép đo giá trị hợp lý PHẢI gồm một phần bù rủi ro — cùng ví dụ số đi kèm (dòng tiền 50.000 USD/năm trong 5 năm: chiết khấu phi rủi ro 5% cho 216.474 USD, chiết khấu 7% có phần bù cho 205.010 USD, chênh lệch 11.464 USD chính là phần bù rủi ro). Chữ 'phần bù rủi ro' trong HTML chỉ xuất hiện ở ví dụ giàn khoan (1.4.5), không phải như một nguyên tắc của mục này. Ngoài ra IFRS 13.69 nêu cặp 'control premium và non-controlling interest discount' nhưng HTML chỉ nói control premium, không nhắc chiết khấu lợi ích cổ đông không kiểm soát.</t>
  </si>
  <si>
    <t xml:space="preserve">Thêm vào s15 một case số phần bù rủi ro (216.474 so với 205.010, chênh 11.464 USD) kèm một câu nguyên tắc, và bổ sung 'chiết khấu lợi ích cổ đông không kiểm soát' vào warn về phần bù/chiết khấu ở s6.</t>
  </si>
  <si>
    <t xml:space="preserve">1.4.9</t>
  </si>
  <si>
    <t xml:space="preserve">Fair Value Hierarchy</t>
  </si>
  <si>
    <t xml:space="preserve">s15, synthesis, viz:ba-cap-bac, quiz:Q10, quiz:Q21, quiz:Q25</t>
  </si>
  <si>
    <t xml:space="preserve">Thiếu 2 trong 5 ví dụ Cấp 2 của IFRS 13.B35: (a) hàng tồn kho thành phẩm tại điểm bán lẻ mua trong hợp nhất kinh doanh — đầu vào Cấp 2 là giá bán lẻ điều chỉnh giảm hoặc giá bán buôn điều chỉnh tăng, và quy tắc chọn bên nào cần ít điều chỉnh chủ quan hơn; (b) đơn vị tạo tiền — bội số thu nhập hoặc doanh thu lấy từ giao dịch của doanh nghiệp tương tự là đầu vào Cấp 2 (HTML chỉ dùng đơn vị tạo tiền làm ví dụ Cấp 3). Thiếu đoạn 1.4.9.1 nói rằng với phần lớn tài sản phi tài chính thì Cấp 1 đơn giản là KHÔNG tồn tại (vốn tư nhân chưa niêm yết, cao ốc/trung tâm thương mại, bằng sáng chế, quan hệ khách hàng, nghĩa vụ hưu trí, dự phòng tháo dỡ) và quy tắc khi một khoản mục niêm yết trên nhiều sàn thì phải xác định thị trường chính rồi kiểm tra doanh nghiệp giao dịch được ở đó theo giá niêm yết. Thiếu quy tắc điều chỉnh Cấp 2 phụ thuộc tình trạng/vị trí tài sản, mức độ tương đồng và khối lượng hoạt động của thị trường quan sát, và câu chốt rằng ý định riêng của doanh nghiệp không bao giờ là lý do chính đáng để điều chỉnh đầu vào quan sát được.</t>
  </si>
  <si>
    <t xml:space="preserve">Thêm hai dòng Cấp 2 vào bảng s15 (hàng tồn kho thành phẩm; bội số của đơn vị tạo tiền), một para nêu Cấp 1 vắng mặt ở tài sản phi tài chính kèm danh sách ví dụ và quy tắc nhiều sàn, và một warn về căn cứ điều chỉnh Cấp 2.</t>
  </si>
  <si>
    <t xml:space="preserve">1.5</t>
  </si>
  <si>
    <t xml:space="preserve">Summary</t>
  </si>
  <si>
    <t xml:space="preserve">synthesis</t>
  </si>
  <si>
    <t xml:space="preserve">1.6</t>
  </si>
  <si>
    <t xml:space="preserve">Review Questions and Answers</t>
  </si>
  <si>
    <t xml:space="preserve">s14, s15, quiz:Q1, quiz:Q6, quiz:Q18, quiz:Q20</t>
  </si>
  <si>
    <t xml:space="preserve">2.1</t>
  </si>
  <si>
    <t xml:space="preserve">KHÔNG CẦN</t>
  </si>
  <si>
    <t xml:space="preserve">s1</t>
  </si>
  <si>
    <t xml:space="preserve">Không mang nội dung thi riêng: đây là lời dẫn chương cộng danh sách learning outcomes. Mọi khẳng định có thực chất (bắt buộc phương pháp mua, đo giá trị hợp lý ngày mua, NCI có hai thước, không phải doanh nghiệp thì là mua tài sản) đều được dạy đủ ở 2.3, 2.4.3 và 2.5.</t>
  </si>
  <si>
    <t xml:space="preserve">2.2</t>
  </si>
  <si>
    <t xml:space="preserve">Scope of IFRS 3</t>
  </si>
  <si>
    <t xml:space="preserve">s1, quiz:Q1</t>
  </si>
  <si>
    <t xml:space="preserve">2.3</t>
  </si>
  <si>
    <t xml:space="preserve">Identifying a Business Combination</t>
  </si>
  <si>
    <t xml:space="preserve">s1, s2, s3, synthesis, quiz:Q2, quiz:Q20</t>
  </si>
  <si>
    <t xml:space="preserve">2.4</t>
  </si>
  <si>
    <t xml:space="preserve">Overview of the Acquisition Method</t>
  </si>
  <si>
    <t xml:space="preserve">s4, viz:bon-buoc-mua, synthesis</t>
  </si>
  <si>
    <t xml:space="preserve">2.4.1</t>
  </si>
  <si>
    <t xml:space="preserve">Identifying the Acquirer (Step 1)</t>
  </si>
  <si>
    <t xml:space="preserve">s4, viz:bon-buoc-mua, quiz:Q21</t>
  </si>
  <si>
    <t xml:space="preserve">2.4.2</t>
  </si>
  <si>
    <t xml:space="preserve">Determining the Acquisition Date (Step 2)</t>
  </si>
  <si>
    <t xml:space="preserve">s5, viz:bon-buoc-mua, quiz:Q12, quiz:Q19</t>
  </si>
  <si>
    <t xml:space="preserve">2.4.3</t>
  </si>
  <si>
    <t xml:space="preserve">Recognising and Measuring Identifiable Assets and Liabilities (Step 3)</t>
  </si>
  <si>
    <t xml:space="preserve">s6, s7, s8, synthesis, quiz:Q4, quiz:Q5, quiz:Q6, quiz:Q7, quiz:Q11</t>
  </si>
  <si>
    <t xml:space="preserve">2.4.4</t>
  </si>
  <si>
    <t xml:space="preserve">Recognising and Measuring Goodwill or Bargain Purchase Gain (Step 4)</t>
  </si>
  <si>
    <t xml:space="preserve">s9, synthesis, viz:bon-buoc-mua, viz:goodwill-nci, quiz:Q13</t>
  </si>
  <si>
    <t xml:space="preserve">Thiếu hẳn hai hình thuyết minh thực tế của mục: Hình 2.1 (ComfortDelGro) và Hình 2.2 (Food Empire). Mất theo đó ba điểm dạy được không có ở chỗ nào khác trong HTML: (a) việc PPA được ghi nhận tạm thời rồi hoàn tất và phải trình bày lại số so sánh — thuế hoãn lại phải trả tăng 55,1 triệu, tài sản vô hình tăng 203,6 triệu, goodwill giảm 148,5 triệu còn 307,4 triệu; (b) thuyết minh nêu lý do goodwill phát sinh là cộng hưởng, tăng trưởng doanh thu, phát triển thị trường và đội ngũ đã tuyển — những thứ không đủ tiêu chí ghi nhận riêng thành tài sản vô hình; (c) lãi từ mua rẻ US$2.924.000 của Food Empire và việc phần 49,5% của cổ đông không kiểm soát trong khoản lãi đó được trình bày trên dòng NCI của bảng cân đối và báo cáo kết quả.</t>
  </si>
  <si>
    <t xml:space="preserve">Thêm một khối case hoặc bảng ở s9 tái hiện hai hình thuyết minh: một bảng cho ComfortDelGro nêu số liệu hoàn tất PPA (DTL +55,1 · vô hình +203,6 · goodwill −148,5 → 307,4 triệu) kèm câu về nguồn gốc goodwill, và một dòng cho Food Empire nêu lãi mua rẻ US$2.924.000 với phần 49,5% thuộc NCI.</t>
  </si>
  <si>
    <t xml:space="preserve">2.5</t>
  </si>
  <si>
    <t xml:space="preserve">Non-Controlling Interest</t>
  </si>
  <si>
    <t xml:space="preserve">s10, synthesis, viz:goodwill-nci, calc:nci-hai-cach, quiz:Q8, quiz:Q14, quiz:Q15</t>
  </si>
  <si>
    <t xml:space="preserve">2.6</t>
  </si>
  <si>
    <t xml:space="preserve">Fair Value of Consideration Transferred</t>
  </si>
  <si>
    <t xml:space="preserve">s11, synthesis</t>
  </si>
  <si>
    <t xml:space="preserve">2.6.1</t>
  </si>
  <si>
    <t xml:space="preserve">Cash and Other Monetary Assets</t>
  </si>
  <si>
    <t xml:space="preserve">s11, calc:may-tinh-gia-phi</t>
  </si>
  <si>
    <t xml:space="preserve">2.6.2</t>
  </si>
  <si>
    <t xml:space="preserve">Equity Instruments</t>
  </si>
  <si>
    <t xml:space="preserve">s11, quiz:Q19</t>
  </si>
  <si>
    <t xml:space="preserve">2.6.3</t>
  </si>
  <si>
    <t xml:space="preserve">Contingent Consideration</t>
  </si>
  <si>
    <t xml:space="preserve">s11, calc:may-tinh-gia-phi, quiz:Q16</t>
  </si>
  <si>
    <t xml:space="preserve">2.6.4</t>
  </si>
  <si>
    <t xml:space="preserve">Liabilities Assumed</t>
  </si>
  <si>
    <t xml:space="preserve">s11, s8</t>
  </si>
  <si>
    <t xml:space="preserve">2.6.5</t>
  </si>
  <si>
    <t xml:space="preserve">Excluded Elements</t>
  </si>
  <si>
    <t xml:space="preserve">s12, synthesis, quiz:Q18</t>
  </si>
  <si>
    <t xml:space="preserve">2.6.6</t>
  </si>
  <si>
    <t xml:space="preserve">Call and Put Options Relating to Non-Controlling Interests</t>
  </si>
  <si>
    <t xml:space="preserve">s12, quiz:Q22</t>
  </si>
  <si>
    <t xml:space="preserve">2.6.7</t>
  </si>
  <si>
    <t xml:space="preserve">Acquisition-related Costs</t>
  </si>
  <si>
    <t xml:space="preserve">s12, synthesis, quiz:Q3</t>
  </si>
  <si>
    <t xml:space="preserve">2.7</t>
  </si>
  <si>
    <t xml:space="preserve">Step Acquisition</t>
  </si>
  <si>
    <t xml:space="preserve">s12, synthesis, calc:mua-theo-giai-doan, quiz:Q10, quiz:Q17</t>
  </si>
  <si>
    <t xml:space="preserve">2.8</t>
  </si>
  <si>
    <t xml:space="preserve">Purchase Price Allocation Crosschecks</t>
  </si>
  <si>
    <t xml:space="preserve">s13, viz:wacc-wara-irr, synthesis</t>
  </si>
  <si>
    <t xml:space="preserve">2.8.1</t>
  </si>
  <si>
    <t xml:space="preserve">Weighted Average Return on Assets (WARA) Calculation</t>
  </si>
  <si>
    <t xml:space="preserve">s13, viz:wacc-wara-irr, calc:wara-case29, calc:may-tinh-wara, quiz:Q9, quiz:Q24</t>
  </si>
  <si>
    <t xml:space="preserve">2.8.2</t>
  </si>
  <si>
    <t xml:space="preserve">Internal Rate of Return (IRR) Calculation</t>
  </si>
  <si>
    <t xml:space="preserve">s13, viz:wacc-wara-irr, calc:wara-case29, quiz:Q25</t>
  </si>
  <si>
    <t xml:space="preserve">2.9</t>
  </si>
  <si>
    <t xml:space="preserve">Case Study - Purchase Price Allocation</t>
  </si>
  <si>
    <t xml:space="preserve">s14, calc:case29-goodwill, calc:may-tinh-gia-phi, calc:wara-case29, quiz:Q16, quiz:Q23</t>
  </si>
  <si>
    <t xml:space="preserve">2.10</t>
  </si>
  <si>
    <t xml:space="preserve">Không mang nội dung thi mới: đây là phần tóm tắt cuối chương, nhắc lại bốn bước, các hình thức giá phí, việc loại chi phí thâu tóm, mua theo giai đoạn và hai phép kiểm chéo — tất cả đã được dạy ở 2.4–2.8. Tab synthesis đã đóng đúng vai trò tóm tắt này.</t>
  </si>
  <si>
    <t xml:space="preserve">2.11</t>
  </si>
  <si>
    <t xml:space="preserve">s8, quiz:Q3, quiz:Q9, quiz:Q10, quiz:Q17</t>
  </si>
  <si>
    <t xml:space="preserve">Bốn trong năm câu ôn tập của sách có câu trắc nghiệm tương ứng (chi phí thâu tóm → Q3, mua theo giai đoạn → Q10, mục đích WARA → Q9, goodwill mua theo giai đoạn 260.000 → Q17). Riêng câu ôn tập số 5 — tính giá trị hợp lý của trái phiếu thường 5 năm, mệnh giá 1.000.000, coupon 5%, lợi suất thị trường 6% ra khoảng 958.000 — không có câu trắc nghiệm nào hỏi vào. Nội dung có ở s8 dưới dạng case đọc hiểu, nhưng cả 25 câu quiz không có câu nào bắt bấm ra con số nợ thường, tức không có chỗ luyện đúng dạng mà sách đã chọn để ra đề.</t>
  </si>
  <si>
    <t xml:space="preserve">Thêm một câu trắc nghiệm dạng scenario vào output/quiz/ch2.json hỏi giá trị hợp lý của trái phiếu thường theo đúng dữ kiện câu ôn tập số 5 (958.000), với phương án nhiễu là 1.000.000 (bê mệnh giá) và một số cao hơn mệnh giá (chiết khấu nhầm chiều).</t>
  </si>
  <si>
    <t xml:space="preserve">3.1</t>
  </si>
  <si>
    <t xml:space="preserve">s1, s2, synthesis, quiz:Q1, quiz:Q2</t>
  </si>
  <si>
    <t xml:space="preserve">3.2</t>
  </si>
  <si>
    <t xml:space="preserve">Types of Intangible Assets</t>
  </si>
  <si>
    <t xml:space="preserve">s4, synthesis, quiz:Q4</t>
  </si>
  <si>
    <t xml:space="preserve">Bảng 3.1 thiếu 3 ví dụ: nhãn hiệu tập thể và nhãn hiệu chứng nhận (nhóm tiếp thị), hợp đồng dịch vụ như hợp đồng thu hộ khoản vay thế chấp (nhóm hợp đồng), title plants trong mục cơ sở dữ liệu (nhóm công nghệ). Cột Cơ sở chỉ ghi cho 7 khoản mục hay nhầm, không nói rõ mọi dòng còn lại của Bảng 3.1 đều là Hợp đồng</t>
  </si>
  <si>
    <t xml:space="preserve">Bổ sung 3 ví dụ thiếu vào bảng s4 và thêm một dòng chú thích dưới bảng: mọi khoản không nằm trong bảng ngoài-hợp-đồng đều mang cơ sở Hợp đồng</t>
  </si>
  <si>
    <t xml:space="preserve">3.2.1</t>
  </si>
  <si>
    <t xml:space="preserve">Controlled by the Entity</t>
  </si>
  <si>
    <t xml:space="preserve">s2, synthesis, quiz:Q13</t>
  </si>
  <si>
    <t xml:space="preserve">3.2.2</t>
  </si>
  <si>
    <t xml:space="preserve">Future Economic Benefits Flow to the Entity</t>
  </si>
  <si>
    <t xml:space="preserve">3.2.3</t>
  </si>
  <si>
    <t xml:space="preserve">Lack Physical Substance</t>
  </si>
  <si>
    <t xml:space="preserve">s2, quiz:Q2</t>
  </si>
  <si>
    <t xml:space="preserve">3.2.4</t>
  </si>
  <si>
    <t xml:space="preserve">Identifiable</t>
  </si>
  <si>
    <t xml:space="preserve">s3, synthesis, quiz:Q3, quiz:Q14</t>
  </si>
  <si>
    <t xml:space="preserve">3.3</t>
  </si>
  <si>
    <t xml:space="preserve">Recognition and Initial Measurement for Intangible Assets</t>
  </si>
  <si>
    <t xml:space="preserve">s5, synthesis</t>
  </si>
  <si>
    <t xml:space="preserve">IAS 38.8 nói giá gốc còn bao gồm giá trị được gán cho tài sản khi ghi nhận ban đầu theo IFRS khác, ví dụ IFRS 2 Thanh toán trên cơ sở cổ phiếu — cụm này không xuất hiện ở bất kỳ đâu trong HTML (0 lần chuỗi IFRS 2). Định nghĩa giá gốc cũng bị rút còn 'tại ngày thụ đắc', mất vế 'hoặc ngày xây dựng'. Không có câu quiz nào hỏi thẳng hai điều kiện ghi nhận của IAS 38.21</t>
  </si>
  <si>
    <t xml:space="preserve">Thêm một dòng deflist ở s5 cho định nghĩa giá gốc đầy đủ (tiền, giá trị hợp lý của khoản thanh toán khác, hoặc giá trị gán theo IFRS khác như IFRS 2; tại ngày thụ đắc hoặc xây dựng) và một câu quiz recall về hai vế của IAS 38.21</t>
  </si>
  <si>
    <t xml:space="preserve">3.4</t>
  </si>
  <si>
    <t xml:space="preserve">Valuation Approaches for Intangible Assets</t>
  </si>
  <si>
    <t xml:space="preserve">s7, synthesis, viz:chon-phuong-phap-tsvh</t>
  </si>
  <si>
    <t xml:space="preserve">3.4.1</t>
  </si>
  <si>
    <t xml:space="preserve">Separate Acquisition</t>
  </si>
  <si>
    <t xml:space="preserve">s5</t>
  </si>
  <si>
    <t xml:space="preserve">3.4.2</t>
  </si>
  <si>
    <t xml:space="preserve">Acquisition by Way of Government Grant</t>
  </si>
  <si>
    <t xml:space="preserve">s5, quiz:Q5</t>
  </si>
  <si>
    <t xml:space="preserve">3.4.3</t>
  </si>
  <si>
    <t xml:space="preserve">Acquisition as Part of a Business Combination</t>
  </si>
  <si>
    <t xml:space="preserve">s5, synthesis, quiz:Q8</t>
  </si>
  <si>
    <t xml:space="preserve">3.4.4</t>
  </si>
  <si>
    <t xml:space="preserve">Exchange of Assets</t>
  </si>
  <si>
    <t xml:space="preserve">Thiếu ngoại lệ của IAS 38.45: tài sản nhận về vẫn được đo theo giá trị hợp lý KỂ CẢ khi doanh nghiệp chưa dừng ghi nhận được ngay tài sản đem đi đổi (chuỗi 'dừng ghi nhận' xuất hiện 0 lần). Không có câu quiz nào cho ba điều kiện nội dung thương mại của IAS 38.46</t>
  </si>
  <si>
    <t xml:space="preserve">Thêm một câu vào deflist 'Nội dung thương mại' ở s5 nêu ngoại lệ chưa-dừng-ghi-nhận, và một câu quiz tình huống bắt kiểm ba điều kiện của IAS 38.46</t>
  </si>
  <si>
    <t xml:space="preserve">3.4.5</t>
  </si>
  <si>
    <t xml:space="preserve">Internally Generated</t>
  </si>
  <si>
    <t xml:space="preserve">s6, synthesis, quiz:Q6, quiz:Q7, quiz:Q17</t>
  </si>
  <si>
    <t xml:space="preserve">3.5</t>
  </si>
  <si>
    <t xml:space="preserve">Market Approach</t>
  </si>
  <si>
    <t xml:space="preserve">s7, viz:chon-phuong-phap-tsvh, quiz:Q9</t>
  </si>
  <si>
    <t xml:space="preserve">3.6</t>
  </si>
  <si>
    <t xml:space="preserve">Cost Approach</t>
  </si>
  <si>
    <t xml:space="preserve">s8, synthesis, quiz:Q10, quiz:Q18, quiz:Q19</t>
  </si>
  <si>
    <t xml:space="preserve">Bảng 3.3 chỉ tái hiện đầu vào của 2 trên 5 nhóm nhân sự (quản lý cấp cao và công nhân sản xuất). Ba nhóm còn lại chỉ có số tổng 110 · 92 · 123, thiếu toàn bộ đầu vào để bấm lại: quản lý cấp trung 4 người, lương năm 1,200, tìm kiếm 15 mỗi người; hành chính 10 người, 1,000, tìm kiếm 5; bán hàng 6 người, 1,500, tìm kiếm 10. Cũng thiếu dòng ghi mức hiệu quả 75% và thời gian thử việc 2 tháng cho từng nhóm</t>
  </si>
  <si>
    <t xml:space="preserve">Đổi phần case Bảng 3.3 ở s8 thành bảng đủ 5 cột với 6 dòng đầu vào (headcount, lương năm, lương tháng, số tháng thử việc, mức hiệu quả, chi phí tìm kiếm mỗi người) để mọi cột đều tự bấm lại được ra 2,433</t>
  </si>
  <si>
    <t xml:space="preserve">3.7</t>
  </si>
  <si>
    <t xml:space="preserve">Income Approach</t>
  </si>
  <si>
    <t xml:space="preserve">s9, synthesis, viz:chon-phuong-phap-tsvh</t>
  </si>
  <si>
    <t xml:space="preserve">3.8</t>
  </si>
  <si>
    <t xml:space="preserve">Additional Guidance and Considerations in Valuing Intangible Assets</t>
  </si>
  <si>
    <t xml:space="preserve">Mục chỉ có 25 từ, là câu chuyển dẫn sang các tiểu mục 3.9.1-3.9.3, không mang nội dung thi</t>
  </si>
  <si>
    <t xml:space="preserve">3.8.1</t>
  </si>
  <si>
    <t xml:space="preserve">Excess Earnings Method</t>
  </si>
  <si>
    <t xml:space="preserve">s9, s10, synthesis, calc:meem-quan-he-kh, viz:chon-phuong-phap-tsvh, quiz:Q11, quiz:Q20, quiz:Q23</t>
  </si>
  <si>
    <t xml:space="preserve">Ba chỗ. Một, cách tính CAC theo kiểu khoản trả góp niên kim — hiện giá chuỗi thanh toán đều bằng giá trị tài sản đóng góp, lấy tỷ suất sinh lời sau thuế làm lãi suất, mỗi kỳ gồm cả return of lẫn return on — không có ở đâu (chuỗi 'niên kim' và 'annuity' đều 0 lần). Hai, quy tắc nhận diện tài sản đóng góp theo góc nhìn bên tham gia thị trường bất kể bên bị mua có sở hữu tài sản đó tại ngày định giá hay không. Ba, Bảng 3.6 chỉ có cột Năm 1 và ba số trung bình; thiếu lưới 5 năm (vốn lưu động 0.070/0.084/0.084/0.091/0.091, tài sản cố định 0.240/0.256/0.280/0.288/0.304, lao động 0.264 mỗi năm) và các tỷ lệ phần trăm theo từng năm</t>
  </si>
  <si>
    <t xml:space="preserve">Thêm một dòng vào phần CAC ở s9 mô tả cách niên kim và câu nhận diện tài sản đóng góp theo bên tham gia thị trường, và dựng Bảng 3.6 thành bảng 5 năm đầy đủ thay cho khối diagram_text chỉ có Năm 1</t>
  </si>
  <si>
    <t xml:space="preserve">3.8.2</t>
  </si>
  <si>
    <t xml:space="preserve">Relief-from-Royalty Method</t>
  </si>
  <si>
    <t xml:space="preserve">s11, synthesis, calc:mien-tru-ban-quyen, quiz:Q21</t>
  </si>
  <si>
    <t xml:space="preserve">3.8.3</t>
  </si>
  <si>
    <t xml:space="preserve">With-and-Without Method</t>
  </si>
  <si>
    <t xml:space="preserve">s12, synthesis, quiz:Q16</t>
  </si>
  <si>
    <t xml:space="preserve">Bảy bước của phương pháp không được liệt kê ở đâu — s12 chỉ nhắc gián tiếp 'bước 6' khi nói về hệ số xác suất, trong khi MEEM (s9) và relief-from-royalty (s11) đều có khối process đủ bước. Bảng 3.9 bỏ hết dòng trung gian của cả hai kịch bản: lợi nhuận gộp, chi phí hoạt động, chi phí khấu hao, EBIT, thuế, EBITDA, thay đổi vốn lưu động và capex, nên không dựng lại được dòng tiền sau thuế 3,460 và 1,892 từ doanh thu 15,450 và 11,588</t>
  </si>
  <si>
    <t xml:space="preserve">Thêm khối process bảy bước vào s12 và bổ sung các dòng trung gian EBITDA - thuế - thay đổi vốn lưu động - capex cho cả hai kịch bản vào bảng Bảng 3.9</t>
  </si>
  <si>
    <t xml:space="preserve">3.8.4</t>
  </si>
  <si>
    <t xml:space="preserve">Greenfield Method</t>
  </si>
  <si>
    <t xml:space="preserve">s13, synthesis, viz:chon-phuong-phap-tsvh, quiz:Q15</t>
  </si>
  <si>
    <t xml:space="preserve">Ba bước của phương pháp không được liệt kê. Bảng 3.10 nhảy thẳng từ EBIT sang dòng tiền sau thuế: thiếu dòng lợi nhuận gộp theo biên 35%, chi phí hoạt động, chi phí khấu hao, thuế 22%, EBITDA và thay đổi vốn lưu động, nên không kiểm lại được dòng tiền sau thuế 10.1 của Năm 5 hay 27.3 của giai đoạn cuối</t>
  </si>
  <si>
    <t xml:space="preserve">Bổ sung các dòng trung gian còn thiếu vào bảng Bảng 3.10 ở s13 và thêm ba bước của phương pháp ngay trên bảng</t>
  </si>
  <si>
    <t xml:space="preserve">3.8.5</t>
  </si>
  <si>
    <t xml:space="preserve">Distributor Method</t>
  </si>
  <si>
    <t xml:space="preserve">s13, synthesis, viz:chon-phuong-phap-tsvh, quiz:Q24</t>
  </si>
  <si>
    <t xml:space="preserve">3.8.6</t>
  </si>
  <si>
    <t xml:space="preserve">Cost Savings Method</t>
  </si>
  <si>
    <t xml:space="preserve">s13, synthesis, viz:chon-phuong-phap-tsvh, quiz:Q22</t>
  </si>
  <si>
    <t xml:space="preserve">3.9</t>
  </si>
  <si>
    <t xml:space="preserve">Mục tóm tắt chương, không có khẳng định nào chưa xuất hiện ở 3.1-3.9.3; vai trò ôn lại đã do tab tổng hợp đảm nhiệm</t>
  </si>
  <si>
    <t xml:space="preserve">3.9.1</t>
  </si>
  <si>
    <t xml:space="preserve">Economic Lives</t>
  </si>
  <si>
    <t xml:space="preserve">s14, synthesis</t>
  </si>
  <si>
    <t xml:space="preserve">3.9.2</t>
  </si>
  <si>
    <t xml:space="preserve">Discount Rates</t>
  </si>
  <si>
    <t xml:space="preserve">3.9.3</t>
  </si>
  <si>
    <t xml:space="preserve">Tax Amortisation Benefit (TAB)</t>
  </si>
  <si>
    <t xml:space="preserve">s14, synthesis, calc:may-tinh-tab, quiz:Q12, quiz:Q25</t>
  </si>
  <si>
    <t xml:space="preserve">3.10</t>
  </si>
  <si>
    <t xml:space="preserve">quiz:Q2, quiz:Q11, quiz:Q18, quiz:Q25</t>
  </si>
  <si>
    <t xml:space="preserve">Câu ôn tập số 4 của sách là một BIẾN THỂ chưa được phủ: lợi nhuận cộng thêm cho sẵn dưới dạng số tuyệt đối 300,000 nên phải CỘNG thẳng vào 1,200,000 ra 1,500,000, rồi chi phí cơ hội 10% ra 1,650,000 và hao mòn chức năng 25% trên chi phí thay thế MỚI ra 1,237,500. HTML chỉ dạy quy tắc ngược lại — biên phần trăm thì phải chia cho (1 - f), lặp ở s8, tab tổng hợp và quiz:Q18 — nên học viên áp máy móc sẽ sai đúng câu này. Câu ôn tập số 3 (chọn phương pháp cho thoả thuận không cạnh tranh) chỉ có ở dạng bài tính quiz:Q16, không có ở dạng recall</t>
  </si>
  <si>
    <t xml:space="preserve">Thêm một dòng cảnh báo ở s8 phân biệt biên lợi nhuận cho theo PHẦN TRĂM (chia cho 1 - f) với lợi nhuận cho theo SỐ TUYỆT ĐỐI (cộng thẳng), kèm một câu quiz dựng đúng bộ số 1,000,000 / 200,000 / 300,000 / 10% / 25% ra 1,237,500</t>
  </si>
  <si>
    <t xml:space="preserve">4.1</t>
  </si>
  <si>
    <t xml:space="preserve">s1, synthesis, calc:viu-fvlcd, quiz:Q1</t>
  </si>
  <si>
    <t xml:space="preserve">4.2</t>
  </si>
  <si>
    <t xml:space="preserve">Scope of IAS 36</t>
  </si>
  <si>
    <t xml:space="preserve">s2, synthesis, quiz:Q2, quiz:Q22</t>
  </si>
  <si>
    <t xml:space="preserve">4.3</t>
  </si>
  <si>
    <t xml:space="preserve">Timing of Impairment Testing</t>
  </si>
  <si>
    <t xml:space="preserve">s3, synthesis, quiz:Q3</t>
  </si>
  <si>
    <t xml:space="preserve">4.4</t>
  </si>
  <si>
    <t xml:space="preserve">Indications of Impairment</t>
  </si>
  <si>
    <t xml:space="preserve">s4, s5, synthesis, quiz:Q21</t>
  </si>
  <si>
    <t xml:space="preserve">Nhánh (b) của ví dụ minh hoạ IAS 36.16 không có: (b)(i) không phải ước tính lại vì dòng tiền tương lai cũng tăng theo — doanh nghiệp chứng minh được mình điều chỉnh doanh thu để bù mức tăng lãi suất; và (b)(ii) mức giảm số thu hồi không đủ dẫn tới lỗ suy giảm trọng yếu. HTML chỉ có nhánh (a) (lãi suất ngắn hạn không tác động tới tài sản đời sống dài) và câu tổng quát của IAS 36.15.</t>
  </si>
  <si>
    <t xml:space="preserve">Thêm hai dòng deflist vào s5 ngay dưới khối concept 'Chốt chặn', nêu đúng hai nhánh (b)(i) và (b)(ii) của IAS 36.16 kèm ví dụ doanh nghiệp tăng giá bán bù lãi suất.</t>
  </si>
  <si>
    <t xml:space="preserve">4.5</t>
  </si>
  <si>
    <t xml:space="preserve">Process of Impairment Testing</t>
  </si>
  <si>
    <t xml:space="preserve">s7, s11, s12</t>
  </si>
  <si>
    <t xml:space="preserve">Mục chỉ có đúng một câu chuyển (20 từ) giới thiệu hai nhánh 4.5.1–4.5.3: kiểm tra có thể làm ở cấp tài sản riêng lẻ hoặc ở cấp CGU. Không mang nội dung thi riêng, và chính ý đó đã nằm trong s7 (khung chung áp cho cả hai cấp), s11 (cấp tài sản) và s12 (cấp CGU).</t>
  </si>
  <si>
    <t xml:space="preserve">4.5.1</t>
  </si>
  <si>
    <t xml:space="preserve">Cash Generating Unit (CGU)</t>
  </si>
  <si>
    <t xml:space="preserve">s6, synthesis, quiz:Q4, quiz:Q19</t>
  </si>
  <si>
    <t xml:space="preserve">Thiếu danh sách YẾU TỐ mà doanh nghiệp phải cân nhắc khi xét dòng tiền vào có độc lập hay không: cách ban điều hành theo dõi hoạt động (theo dòng sản phẩm, theo mảng kinh doanh, theo từng địa điểm, theo quận/vùng) và cách ban điều hành ra quyết định tiếp tục hay thanh lý tài sản/hoạt động. Kèm theo, ví dụ cửa hàng X bị lược mất hai tiêu chí phân tích của sách: (a) báo cáo quản trị nội bộ có đo kết quả theo từng cửa hàng không, (b) việc kinh doanh chạy theo lợi nhuận từng cửa hàng hay theo vùng/thành phố.</t>
  </si>
  <si>
    <t xml:space="preserve">Thêm một deflist 2 mục vào s6 ngay sau khối warn 'Chữ quan trọng nhất trong định nghĩa', liệt kê hai nhóm yếu tố (cách theo dõi hoạt động · cách ra quyết định tiếp tục hay thanh lý), rồi bổ sung hai tiêu chí (a)(b) vào phần thân của case cửa hàng X.</t>
  </si>
  <si>
    <t xml:space="preserve">4.5.2</t>
  </si>
  <si>
    <t xml:space="preserve">General Framework</t>
  </si>
  <si>
    <t xml:space="preserve">s7, s1, s3, s13, synthesis, quiz:Q10</t>
  </si>
  <si>
    <t xml:space="preserve">4.5.3</t>
  </si>
  <si>
    <t xml:space="preserve">Recoverable Amount</t>
  </si>
  <si>
    <t xml:space="preserve">s7, s1, synthesis, calc:viu-fvlcd, quiz:Q1</t>
  </si>
  <si>
    <t xml:space="preserve">4.6</t>
  </si>
  <si>
    <t xml:space="preserve">Fair Value Less Costs of Disposal (FVLCD)</t>
  </si>
  <si>
    <t xml:space="preserve">s8, synthesis, quiz:Q15</t>
  </si>
  <si>
    <t xml:space="preserve">4.7</t>
  </si>
  <si>
    <t xml:space="preserve">Value in Use (VIU)</t>
  </si>
  <si>
    <t xml:space="preserve">s7, s9, s10, synthesis, calc:viu-fvlcd, quiz:Q14</t>
  </si>
  <si>
    <t xml:space="preserve">Thiếu hẳn danh sách năm yếu tố bắt buộc phản ánh trong VIU theo IAS 36.30: (a) ước tính dòng tiền tương lai, (b) kỳ vọng về biến động số tiền hoặc thời điểm của dòng tiền đó, (c) giá trị thời gian của tiền đo bằng lãi suất PHI RỦI RO thị trường hiện hành, (d) giá phải trả để gánh sự bất định vốn có của tài sản, (e) các yếu tố khác như TÍNH KÉM THANH KHOẢN mà bên tham gia thị trường sẽ phản ánh vào giá. Kèm theo, IAS 36.32 mới được nêu một nửa (được chọn phản ánh rủi ro ở dòng tiền hoặc ở suất chiết khấu) mà thiếu vế còn lại: kết quả phải là hiện giá KỲ VỌNG, tức bình quân gia quyền của mọi kịch bản có thể xảy ra.</t>
  </si>
  <si>
    <t xml:space="preserve">Thêm một khối deflist 5 mục cho IAS 36.30 vào đầu s9 (hoặc mở một section 4.7 riêng trước s9), và bổ sung một câu về 'hiện giá kỳ vọng = bình quân gia quyền các kịch bản' vào mục 'Cấm đếm rủi ro hai lần' của s10.</t>
  </si>
  <si>
    <t xml:space="preserve">4.7.1</t>
  </si>
  <si>
    <t xml:space="preserve">Future Cash Flows</t>
  </si>
  <si>
    <t xml:space="preserve">s9, s7, synthesis, quiz:Q6, quiz:Q7, quiz:Q11</t>
  </si>
  <si>
    <t xml:space="preserve">4.7.2</t>
  </si>
  <si>
    <t xml:space="preserve">Discount Rate</t>
  </si>
  <si>
    <t xml:space="preserve">s10, synthesis, quiz:Q5</t>
  </si>
  <si>
    <t xml:space="preserve">Thiếu hai NGUỒN ước tính suất chiết khấu mà IAS 36.56 nêu đích danh: suất ngầm định trong các giao dịch thị trường hiện hành đối với tài sản tương tự, và WACC của một công ty niêm yết chỉ sở hữu MỘT tài sản (hoặc một danh mục tài sản) tương đương về tiềm năng phục vụ và rủi ro với tài sản đang xét. HTML đi thẳng sang danh sách thay thế của Phụ lục A (WACC/CAPM, lãi suất vay tăng thêm, lãi suất vay thị trường) mà bỏ qua hai nguồn ưu tiên này.</t>
  </si>
  <si>
    <t xml:space="preserve">Thêm một mục deflist 'Hai nguồn ước tính theo IAS 36.56' vào s10, đặt TRƯỚC mục 'Điểm xuất phát', nêu rõ đây là nguồn ưu tiên còn Phụ lục A chỉ dùng khi không quan sát được.</t>
  </si>
  <si>
    <t xml:space="preserve">4.8</t>
  </si>
  <si>
    <t xml:space="preserve">Impairment Testing for an Asset</t>
  </si>
  <si>
    <t xml:space="preserve">s11, synthesis, calc:viu-fvlcd, quiz:Q13, quiz:Q20</t>
  </si>
  <si>
    <t xml:space="preserve">Thiếu cơ chế của IAS 36.60-61 khi tài sản theo mô hình đánh giá lại: lỗ suy giảm được ghi giảm THẶNG DƯ ĐÁNH GIÁ LẠI (revaluation surplus) theo IAS 16, và chỉ tới mức không vượt SỐ DƯ thặng dư của chính tài sản đó — phần vượt mới đẩy vào kết quả kinh doanh. HTML chỉ viết 'trừ trường hợp tài sản đang theo mô hình đánh giá lại của chuẩn mực khác' rồi dừng, không nói ghi vào đâu và ngưỡng chặn là gì. Ngoài ra Schedule 1 của ví dụ hợp đồng nhượng quyền (bảng 6 năm với hệ số chiết khấu 0,909 · 0,826 · 0,751 · 0,683 · 0,621 · 0,564 và hiện giá từng năm) không được tái hiện; chỉ còn tổng 1.296.764.</t>
  </si>
  <si>
    <t xml:space="preserve">Sửa bước 3 của khối process trong s11 thành hai câu nêu rõ đường ghi vào thặng dư đánh giá lại và trần bằng số dư thặng dư của chính tài sản, rồi thêm cột hệ số chiết khấu và hiện giá từng năm vào bảng của s11 hoặc vào calc:viu-fvlcd.</t>
  </si>
  <si>
    <t xml:space="preserve">4.9</t>
  </si>
  <si>
    <t xml:space="preserve">Impairment Testing for a CGU</t>
  </si>
  <si>
    <t xml:space="preserve">s12, s9, synthesis, viz:thac-phan-bo-cgu, calc:phan-bo-lo-cgu, quiz:Q8, quiz:Q9, quiz:Q18, quiz:Q22, quiz:Q23</t>
  </si>
  <si>
    <t xml:space="preserve">Ba chỗ hụt. Một, IAS 36.106 không có ở đâu: khi không thực tế để ước tính số thu hồi của từng tài sản riêng trong đơn vị thì lỗ được phân bổ trên một cơ sở TÙY Ý giữa các tài sản của đơn vị, trừ goodwill. Hai, IAS 36.88 không có: goodwill có liên quan tới một CGU nhưng CHƯA được phân bổ cho đơn vị đó thì đơn vị phải được kiểm tra mỗi khi có dấu hiệu suy giảm. Ba, Schedule 5 của ví dụ nhà máy K không được tái hiện — bảng này cho biết khấu hao điều chỉnh sau khi ghi lỗ là 205 cho 20X1 và 20X2 rồi 270 cho 20X3, và giá trị ghi sổ 1.846 cuối 20X1, 1.892 cuối 20X3, cùng ký hiệu 'nc' cho năm không phải tính lại; HTML chỉ nêu tổng khấu hao hai năm 410.</t>
  </si>
  <si>
    <t xml:space="preserve">Thêm một mục vào khối process của s12 cho IAS 36.106 và một câu cho IAS 36.88, rồi dựng lại Schedule 5 thành một bảng 4 dòng (20X0–20X3: nguyên giá đã khấu hao · số thu hồi · khấu hao điều chỉnh · lỗ/hoàn nhập · giá trị ghi sổ) đặt ngay dưới case nhà máy K ở s9.</t>
  </si>
  <si>
    <t xml:space="preserve">4.10</t>
  </si>
  <si>
    <t xml:space="preserve">Impairment Testing for Goodwill</t>
  </si>
  <si>
    <t xml:space="preserve">s13, s12, s3, s10, synthesis, viz:thac-phan-bo-cgu, calc:phan-bo-lo-cgu, quiz:Q12, quiz:Q16, quiz:Q23, quiz:Q24</t>
  </si>
  <si>
    <t xml:space="preserve">Thiếu điều kiện BẬT của phép gộp ngược goodwill: sách nêu IFRS 3 cho hai cách đo lợi ích cổ đông không kiểm soát — (a) theo phần sở hữu tỷ lệ trong tài sản thuần xác định được, khi đó goodwill thuộc NCI KHÔNG được ghi nhận nên IAS 36.C4 mới bắt gộp ngược; và (b) theo giá trị hợp lý tại ngày mua, khi đó phần goodwill của NCI đã nằm trên sổ nên không phải gộp ngược. HTML chỉ nói 'Parent chọn đo NCI theo phần sở hữu tỷ lệ' rồi gộp ngược luôn, không cho biết bao giờ thì KHÔNG gộp. Ngoài ra thuyết minh Kimly mới lấy hai giả định (suất chiết khấu 16,8%/15,4% và tăng trưởng 1,0%/1,8%) mà bỏ giả định thứ ba — biên lợi nhuận gộp dự toán — cùng đoạn phân tích độ nhạy và số so sánh năm 2024; và Figure 4.3 (Raffles Education) về cách phân bổ giá trị ghi sổ goodwill cho các CGU là các công ty con thì không xuất hiện.</t>
  </si>
  <si>
    <t xml:space="preserve">Thêm một khối two_col vào s13 đặt hai cách đo NCI cạnh nhau, ghi rõ chỉ nhánh phần-sở-hữu-tỷ-lệ mới phải gộp ngược theo IAS 36.C4, và bổ sung giả định biên lợi nhuận gộp cùng câu phân tích độ nhạy vào đoạn Kimly ở s10.</t>
  </si>
  <si>
    <t xml:space="preserve">4.11</t>
  </si>
  <si>
    <t xml:space="preserve">Impairment Testing for Corporate Assets</t>
  </si>
  <si>
    <t xml:space="preserve">s14, synthesis, quiz:Q17, quiz:Q25</t>
  </si>
  <si>
    <t xml:space="preserve">4.12</t>
  </si>
  <si>
    <t xml:space="preserve">synthesis, s1, s3, s7, s9, s12, s13, s14</t>
  </si>
  <si>
    <t xml:space="preserve">4.13</t>
  </si>
  <si>
    <t xml:space="preserve">quiz:Q1, quiz:Q7, quiz:Q8, quiz:Q13, quiz:Q14</t>
  </si>
  <si>
    <t xml:space="preserve">5.1</t>
  </si>
  <si>
    <t xml:space="preserve">Lời dẫn chương + danh sách bốn chuẩn đầu ra, không mang nội dung thi riêng: điểm dạy được duy nhất là đối chiếu giá gốc với giá trị hợp lý, và nó đã có nguyên vẹn ở khối two_col của s1; bốn chuẩn đầu ra cùng nguồn quy tắc (IVSC Guide, ISA) nằm ở callout cuối s1. Chỉ thiếu danh sách người dùng báo cáo (nhà đầu tư, bên cho vay, cơ quan quản lý) — mô tả bối cảnh, không phải quy tắc thi</t>
  </si>
  <si>
    <t xml:space="preserve">5.2</t>
  </si>
  <si>
    <t xml:space="preserve">Demand for Valuers for Financial Reporting Purposes</t>
  </si>
  <si>
    <t xml:space="preserve">5.2.1</t>
  </si>
  <si>
    <t xml:space="preserve">Role of a Valuer</t>
  </si>
  <si>
    <t xml:space="preserve">s2, synthesis, quiz:Q2, quiz:Q3, quiz:Q20, quiz:Q23, quiz:Q24</t>
  </si>
  <si>
    <t xml:space="preserve">Hình 5.1 liệt kê BỐN thủ tục kiểm toán, khối case ở s2 chỉ tái hiện ba (đọc hợp đồng giao dịch; đánh giá tính khách quan, năng lực, khả năng của người định giá do ban giám đốc thuê; huy động chuyên gia định giá nội bộ soát phương pháp và giả định). Thiếu thủ tục thứ tư: 'we assessed the adequacy of the disclosures in notes to the financial statements' — đánh giá tính đầy đủ của thuyết minh về đầu tư vào công ty con và lợi thế thương mại, kèm các thuyết minh được dẫn (Note 2.4(b), 2.8, 13, 2.11, 2.12, 3(a), 16, 37). Kiểm bằng máy: chuỗi 'Note 16'/'Note 37' và cụm 'tính đầy đủ của thuyết minh' đều đếm được 0 lần trong cva-module4-study-vi.html</t>
  </si>
  <si>
    <t xml:space="preserve">Thêm một câu vào cuối khối case ở s2 nêu thủ tục thứ tư (đánh giá tính đầy đủ của thuyết minh liên quan tới đầu tư vào công ty con và lợi thế thương mại) và một câu recall hỏi 'thủ tục nào KHÔNG nằm trong đoạn vấn đề kiểm toán chủ chốt'</t>
  </si>
  <si>
    <t xml:space="preserve">5.2.2</t>
  </si>
  <si>
    <t xml:space="preserve">Valuation Standards and Scope of Work</t>
  </si>
  <si>
    <t xml:space="preserve">s3, s4, s10, synthesis, quiz:Q4, quiz:Q5, quiz:Q18, quiz:Q19</t>
  </si>
  <si>
    <t xml:space="preserve">5.2.3</t>
  </si>
  <si>
    <t xml:space="preserve">Evaluation of the Valuer</t>
  </si>
  <si>
    <t xml:space="preserve">s5, synthesis, quiz:Q6, quiz:Q7, quiz:Q8, quiz:Q14</t>
  </si>
  <si>
    <t xml:space="preserve">5.2.4</t>
  </si>
  <si>
    <t xml:space="preserve">Planning, Timetable and Report</t>
  </si>
  <si>
    <t xml:space="preserve">s6, synthesis, quiz:Q9</t>
  </si>
  <si>
    <t xml:space="preserve">5.3</t>
  </si>
  <si>
    <t xml:space="preserve">Valuer Engaged by Audit Client to Perform Valuation</t>
  </si>
  <si>
    <t xml:space="preserve">s7</t>
  </si>
  <si>
    <t xml:space="preserve">5.3.1</t>
  </si>
  <si>
    <t xml:space="preserve">Communication</t>
  </si>
  <si>
    <t xml:space="preserve">s7, synthesis, quiz:Q13</t>
  </si>
  <si>
    <t xml:space="preserve">5.3.2</t>
  </si>
  <si>
    <t xml:space="preserve">Information Request and Queries on Valuation Report</t>
  </si>
  <si>
    <t xml:space="preserve">s7, synthesis, quiz:Q22</t>
  </si>
  <si>
    <t xml:space="preserve">5.4</t>
  </si>
  <si>
    <t xml:space="preserve">Valuer Engaged to Be Part of the Audit Team</t>
  </si>
  <si>
    <t xml:space="preserve">s8, s2, synthesis, quiz:Q10</t>
  </si>
  <si>
    <t xml:space="preserve">5.4.1</t>
  </si>
  <si>
    <t xml:space="preserve">Professional Scepticism</t>
  </si>
  <si>
    <t xml:space="preserve">s8, synthesis, quiz:Q11, quiz:Q16</t>
  </si>
  <si>
    <t xml:space="preserve">5.4.2</t>
  </si>
  <si>
    <t xml:space="preserve">Scope of work - Additional Considerations</t>
  </si>
  <si>
    <t xml:space="preserve">s9, synthesis, quiz:Q15, quiz:Q17</t>
  </si>
  <si>
    <t xml:space="preserve">5.4.3</t>
  </si>
  <si>
    <t xml:space="preserve">Review the Work of the Auditor’s Expert</t>
  </si>
  <si>
    <t xml:space="preserve">s9, synthesis, quiz:Q21, quiz:Q25</t>
  </si>
  <si>
    <t xml:space="preserve">5.5</t>
  </si>
  <si>
    <t xml:space="preserve">Mục tóm tắt chương, không đẻ ra điểm dạy được mới: mọi khẳng định trong đó (hai vai, nghĩa vụ tuân thủ chuẩn mực dù ai thuê, phạm vi bằng văn bản có tính tới trọng yếu, ISA 500/620 chấm năng lực - khả năng - tính khách quan, bảo mật với vai chuyên gia của doanh nghiệp, hoài nghi nghề nghiệp với vai chuyên gia của kiểm toán viên, hồ sơ đầy đủ ở cả hai vai) đều đã được dạy ở s2-s9 và gói lại ở tab tổng hợp. Sắc thái duy nhất chưa nói thẳng là so sánh 'hồ sơ cần cho cả hai vai nhưng đặc biệt then chốt với chuyên gia của kiểm toán viên' — mức nhấn, không phải quy tắc mới</t>
  </si>
  <si>
    <t xml:space="preserve">5.6</t>
  </si>
  <si>
    <t xml:space="preserve">quiz:Q1, quiz:Q5, quiz:Q11, quiz:Q13, quiz:Q19, quiz:Q25, s3, s4, s7, s8, s9</t>
  </si>
  <si>
    <t xml:space="preserve">Bốn trong năm câu ôn tập của sách được tái hiện gần nguyên văn cả phương án nhiễu (câu 1 nhu cầu định giá → Q1; câu 2 trọng yếu → Q5 và Q19, hai nhiễu 'quyết định cách tính phí' và 'cho phép bỏ qua chuẩn mực với tài sản nhỏ' nằm ở warn của s4; câu 3 sự đồng ý của đơn vị → Q13, hai nhiễu 'giấy tờ làm việc của kiểm toán viên' và 'lệnh toà' nằm ở warn của s7; câu 4 hoài nghi nghề nghiệp → Q11, hai nhiễu 'tin tuyệt đối vào ước tính của ban giám đốc' và 'quay về giá gốc' nằm ở warn của s8). Thiếu câu 5: dạng EXCEPT liệt kê ba trục ISA 620.12 và loại ra 'khả năng sinh lời của đơn vị so với đối thủ cạnh tranh'. HTML có đủ ba trục ở mặt khẳng định (concept ISA 620.12 tại s9, mnemonic 'Kết luận, giả định, dữ liệu nguồn' ở tab tổng hợp, ba phương án của Q25 chính là ba trục) nhưng không chỗ nào nói ranh giới phủ định — rằng phép đánh giá KHÔNG bao gồm so sánh khả năng sinh lời với đối thủ</t>
  </si>
  <si>
    <t xml:space="preserve">Thêm một câu recall dạng EXCEPT vào output/quiz/ch5.json: liệt kê ba trục ISA 620.12 làm phương án đúng-loại-trừ, phương án cần chọn là 'khả năng sinh lời của đơn vị so với đối thủ cạnh tranh', và ghi một dòng ranh giới phủ định vào concept ISA 620.12 ở s9</t>
  </si>
  <si>
    <t xml:space="preserve">DANH SÁCH VIỆC CẦN LÀM — xếp theo rủi ro thi rồi theo độ dày của mục trong giáo trình</t>
  </si>
  <si>
    <t xml:space="preserve">Chỉ liệt kê các mục chấm THIẾU hoặc MỎNG ở LẦN CHẤM ĐẦU. Cột "Đã vá?" cho biết chỗ nào đã được bổ sung vào file HTML sau đó.</t>
  </si>
  <si>
    <t xml:space="preserve">60 CÂU ĐỀ THI THỬ CUỐI GIÁO TRÌNH — file ôn có dạy đủ để làm không</t>
  </si>
  <si>
    <t xml:space="preserve">Đây là thước sắc nhất: đề do chính ACRA/SMU soạn. Cột "Kết quả" chấm xem người CHỈ học file HTML có làm được câu đó không.</t>
  </si>
  <si>
    <t xml:space="preserve">Câu</t>
  </si>
  <si>
    <t xml:space="preserve">Đáp án</t>
  </si>
  <si>
    <t xml:space="preserve">Chủ đề</t>
  </si>
  <si>
    <t xml:space="preserve">Bấm số?</t>
  </si>
  <si>
    <t xml:space="preserve">Kết quả</t>
  </si>
  <si>
    <t xml:space="preserve">Hụt mắt xích nào</t>
  </si>
  <si>
    <t xml:space="preserve">Đề bài (rút gọn)</t>
  </si>
  <si>
    <t xml:space="preserve">C</t>
  </si>
  <si>
    <t xml:space="preserve">Định nghĩa giá trị hợp lý — giá thoát tại ngày đo lường</t>
  </si>
  <si>
    <t xml:space="preserve">ch1:s2 (quote IFRS 13.9 + concept giá thoát), synth:ch1 (quote + deflist), quiz:ch1#1</t>
  </si>
  <si>
    <t xml:space="preserve">Which of the following statements is most consistent with the definition of fair value under IFRS 13?</t>
  </si>
  <si>
    <t xml:space="preserve">A</t>
  </si>
  <si>
    <t xml:space="preserve">Phạm vi IFRS 13 — không áp cho giá trị thuần có thể thực hiện được (IAS 2)</t>
  </si>
  <si>
    <t xml:space="preserve">ch1:s1 (bảng ngoại lệ IFRS 2 · IFRS 16 · IAS 2 NRV · IAS 36 VIU), ch1:s14 (không bắt buộc một kỹ thuật), synth:ch1 (warn 'IFRS 13 chỉ nói ĐO THẾ NÀO'), quiz:ch1#2</t>
  </si>
  <si>
    <t xml:space="preserve">Which of the following statements is false?</t>
  </si>
  <si>
    <t xml:space="preserve">IFRS 13 không ấn định ngày đo; fair value là thước thị trường; thị trường chính đo bằng khối lượng</t>
  </si>
  <si>
    <t xml:space="preserve">ch1:s1 (warn 'không nói đo vào thời điểm nào'), ch1:s3 (market-based, không entity-specific), ch1:s8 (thị trường chính = khối lượng lớn nhất), quiz:ch1#2, quiz:ch1#4</t>
  </si>
  <si>
    <t xml:space="preserve">Which of the following statements is true?</t>
  </si>
  <si>
    <t xml:space="preserve">Giao dịch có trật tự — bên liên quan, bán tháo, giá lệch khỏi giao dịch tương tự</t>
  </si>
  <si>
    <t xml:space="preserve">ch1:s3 (bảng dấu hiệu IFRS 13.B43 + deflist), ch1:s2 (bảng IFRS 13.B4 bên liên quan / bên bán bị ép), ch1:s9 (bên tham gia thị trường độc lập), quiz:ch1#11</t>
  </si>
  <si>
    <t xml:space="preserve">Which of the following statements is more likely to indicate that an orderly transaction has taken place during an asset sale under IFRS 13?</t>
  </si>
  <si>
    <t xml:space="preserve">B</t>
  </si>
  <si>
    <t xml:space="preserve">Mức sử dụng cao nhất chỉ áp cho tài sản phi tài chính</t>
  </si>
  <si>
    <t xml:space="preserve">ch1:s10 (warn 'Bẫy thi kinh điển' + IFRS 13.BC63), ch1:s8 (phải tiếp cận được thị trường), ch1:s6 (IFRS 13.69 phần bù/chiết khấu khớp đơn vị tính), synth:ch1 (warn phạm vi HBU), quiz:ch1#5</t>
  </si>
  <si>
    <t xml:space="preserve">Which of the following statements is NOT most appropriate in describing the fair value measurement of a financial asset (e.g., equity investment in a company) under IFRS 13?</t>
  </si>
  <si>
    <t xml:space="preserve">Ba kỹ thuật định giá — cách tiếp cận CHI PHÍ (không phải giá gốc) và không có thứ tự ưu tiên</t>
  </si>
  <si>
    <t xml:space="preserve">ch1:s14 (three_col ba cách + warn IFRS 13.63 'không có thứ tự ưu tiên cố định' + bảng IFRS 13.65), ch1:s1 (historical cost là cơ sở kế toán, khác cách tiếp cận chi phí), quiz:ch1#19</t>
  </si>
  <si>
    <t xml:space="preserve">Which of the following statement(s) is (are) true under IFRS 13? (I) The use of multiple valuation methodologies is permitted when determining fair value. (II) IFRS 13 recognises three commonly used valuation techniques which include the income approach, the market value approach, and the historical</t>
  </si>
  <si>
    <t xml:space="preserve">1.4.5.2</t>
  </si>
  <si>
    <t xml:space="preserve">Rủi ro không thực hiện nghĩa vụ — gồm rủi ro tín dụng của chính đơn vị, không gồm của bên nhận chuyển giao</t>
  </si>
  <si>
    <t xml:space="preserve">ch1:s12 (IFRS 13.43 + nghĩa vụ giao hàng hoá/dịch vụ + IFRS 13.BC94 giữ nguyên trước và sau chuyển giao), synth:ch1 (tip bốn câu gọn), quiz:ch1#6 (nhiễu 'rủi ro tín dụng của bên nhận chuyển giao')</t>
  </si>
  <si>
    <t xml:space="preserve">In measuring the fair value of liabilities under IFRS 13, a reporting entity must incorporate non-performance risk. Non-performance risk includes (I) The reporting entity’s credit risk (II) The reporting entity's non-fulfilment risks including completion and delivery risks (III) The credit risk of t</t>
  </si>
  <si>
    <t xml:space="preserve">1.4.7.3</t>
  </si>
  <si>
    <t xml:space="preserve">Cách tiếp cận thu nhập — quy dòng tiền tương lai về một con số hôm nay</t>
  </si>
  <si>
    <t xml:space="preserve">ch1:s14 (three_col mục I), synth:ch1</t>
  </si>
  <si>
    <t xml:space="preserve">Valuation techniques that discount future amounts into a single present value, based on current market expectations of those future amounts, are examples of</t>
  </si>
  <si>
    <t xml:space="preserve">Thứ tự ưu tiên ba cấp bậc giá trị hợp lý</t>
  </si>
  <si>
    <t xml:space="preserve">ch1:s15 (three_col Cấp 1/2/3 — Cấp 2 gồm giá của tài sản giống hệt ở thị trường kém sôi động), synth:ch1 (mnemonic 'Một y hệt, hai tương tự, ba tự đoán'), visual:ba-cap-bac</t>
  </si>
  <si>
    <t xml:space="preserve">Rank the following valuation approaches in descending order of preference for fair value measurement under IFRS 13: (I) Using a valuation technique under an income approach (II) Using the quoted price of an identical asset in an active market (III) Using the quoted price of an identical asset in a m</t>
  </si>
  <si>
    <t xml:space="preserve">1.4.9.1</t>
  </si>
  <si>
    <t xml:space="preserve">Đầu vào Cấp 1 cho khoản nợ — thị trường hoạt động so với thị trường kém sôi động</t>
  </si>
  <si>
    <t xml:space="preserve">ch1:s15 (Cấp 1 cho 'tài sản hoặc nợ giống hệt'; Cấp 2 gồm thị trường kém sôi động), ch1:s13 (IFRS 13.38(a) giá của món đó khi bên khác giữ như tài sản; case trái phiếu B xếp Cấp 1), quiz:ch1#25, visual:ba-cap-bac</t>
  </si>
  <si>
    <t xml:space="preserve">Which of the following inputs would likely NOT qualify as Level 1 in the fair value hierarchy under IFRS 13? (I) When measuring the fair value of a liability, the quoted price in an active market for the transfer of an identical liability is used. (II) When measuring the fair value of an asset, the </t>
  </si>
  <si>
    <t xml:space="preserve">1.4.4.2</t>
  </si>
  <si>
    <t xml:space="preserve">Tiền đề đi cùng nhóm (in-combination) cho tài sản phi tài chính</t>
  </si>
  <si>
    <t xml:space="preserve">ch1:s11 (two_col 'Dùng chung với tài sản khác' theo IFRS 13.31), ch1:s10 (nhất quán trong nhóm), ch1:s11 (bảng IFRS 13.B3)</t>
  </si>
  <si>
    <t xml:space="preserve">File nêu tiền đề đi-cùng-nhóm là 'tài sản chạy cùng các tài sản bổ trợ và các khoản nợ liên quan, người mua tiếp cận được' nhưng KHÔNG nói mắt xích quyết định: chi phí để mua tài sản bổ trợ (nhiễu I) và giá trị hợp lý của khoản nợ dùng để tài trợ việc mua đó (nhiễu III) KHÔNG được cộng vào phép đo. Cụm 'kể cả nợ tài trợ vốn lưu động' trong file còn đẩy người học về phía chọn (III).</t>
  </si>
  <si>
    <t xml:space="preserve">Which of the following statement(s) is (are) most appropriate in describing the fair value measurement of a non-financial asset using an in-combination premise under IFRS 13? (I) Market participants are assumed to incur costs to acquire complementary assets that they do not possess, and these costs </t>
  </si>
  <si>
    <t xml:space="preserve">Phân biệt đơn vị tính và tiền đề định giá; tính nhất quán trong nhóm tài sản</t>
  </si>
  <si>
    <t xml:space="preserve">ch1:s11 (concept 'đơn vị tính hỏi ĐO CÁI GÌ, tiền đề hỏi ĐO KIỂU NÀO' + case cỗ máy 'hai thứ có thể lệch nhau' + warn IFRS 13.31 nhất quán cho mọi tài sản trong nhóm), ch1:s6 (đơn vị tính do chuẩn mực chuyên ngành ấn định), synth:ch1 (deflist)</t>
  </si>
  <si>
    <t xml:space="preserve">Which of the following statement(s) is (are) false under IFRS 13? (I) The valuation premise specifies the asset or liability being measured and determines how it is presented in the financial statements. (II) The valuation premise - whether standalone or in-combination - must be consistent with the </t>
  </si>
  <si>
    <t xml:space="preserve">1.4.2.3</t>
  </si>
  <si>
    <t xml:space="preserve">Thị trường chính khi doanh nghiệp không tiếp cận được thị trường lớn nhất</t>
  </si>
  <si>
    <t xml:space="preserve">ch1:s8 (concept: khối lượng lớn nhất + IFRS 13.19 'phải thật sự tiếp cận được'; case 1.000 laptop lấy khối lượng toàn thị trường chứ không lấy doanh số của doanh nghiệp), calc:laptop-thi-truong-chinh, quiz:ch1#14, visual:chon-thi-truong</t>
  </si>
  <si>
    <t xml:space="preserve">Under IFRS 13, what is considered the principal market for product K for reporting purpose?</t>
  </si>
  <si>
    <t xml:space="preserve">1.4.2.1</t>
  </si>
  <si>
    <t xml:space="preserve">Đo giá trị hợp lý ở thị trường chính — chỉ trừ chi phí vận chuyển</t>
  </si>
  <si>
    <t xml:space="preserve">có</t>
  </si>
  <si>
    <t xml:space="preserve">ch1:s8 (diagram_text 'Giá trị hợp lý = Giá tại thị trường đã chọn − Chi phí vận chuyển' + case IE19–IE22 + warn phí môi giới không trừ), calc:chon-thi-truong-fv, synth:ch1 (mnemonic 'Chở đi thì trừ, môi giới thì không'), quiz:ch1#16</t>
  </si>
  <si>
    <t xml:space="preserve">Under IFRS 13, what is the fair value of product K for reporting purpose?</t>
  </si>
  <si>
    <t xml:space="preserve">1.4.2.2</t>
  </si>
  <si>
    <t xml:space="preserve">Thị trường có lợi nhất — so thu ròng sau cả hai loại chi phí, chỉ trong các thị trường tiếp cận được</t>
  </si>
  <si>
    <t xml:space="preserve">ch1:s8 (bảng 100 máy X/Y/Z + case IE19–IE22 + yêu cầu tiếp cận được), calc:chon-thi-truong-fv (bước 1 và 3), calc:may-tinh-thi-truong, quiz:ch1#15, synth:ch1 (bảng chọn thị trường)</t>
  </si>
  <si>
    <t xml:space="preserve">If no principal market can be identified, what is the most advantageous market for fair value measurement for product K under IFRS 13?</t>
  </si>
  <si>
    <t xml:space="preserve">1.4.1.2</t>
  </si>
  <si>
    <t xml:space="preserve">Hạn chế bán chỉ ràng buộc riêng người nắm giữ thì bỏ qua; phần bù kiểm soát được giữ</t>
  </si>
  <si>
    <t xml:space="preserve">ch1:s7 (concept IFRS 13.IE27 'hạn chế có chuyển sang người mua không' + two_col + case IE29 mảnh đất sân chơi), ch1:s6 (warn IFRS 13.69: control premium được, chiết khấu cỡ lô bị cấm), quiz:ch1#18</t>
  </si>
  <si>
    <t xml:space="preserve">Under IFRS 13, what is the fair value of asset K for reporting purpose?</t>
  </si>
  <si>
    <t xml:space="preserve">1.4.4.1</t>
  </si>
  <si>
    <t xml:space="preserve">Mức sử dụng cao nhất của thửa đất — trừ chi phí chuyển đổi rồi lấy số lớn hơn</t>
  </si>
  <si>
    <t xml:space="preserve">ch1:s10 (case 'Thửa đất nhà máy nằm cạnh khu chung cư mới' phỏng theo IFRS 13.IE7–IE8: trừ chi phí chuyển đổi, lấy số lớn hơn + three_col ba bộ lọc), quiz:ch1#24, synth:ch1 (mnemonic 'Được phép, làm được, có lãi')</t>
  </si>
  <si>
    <t xml:space="preserve">Under IFRS 13, what is the fair value of asset M for reporting purpose?</t>
  </si>
  <si>
    <t xml:space="preserve">1.4.5.4</t>
  </si>
  <si>
    <t xml:space="preserve">Đo nợ phục hồi hiện trường — thổi lạm phát rồi chiết khấu theo suất đã điều chỉnh rủi ro</t>
  </si>
  <si>
    <t xml:space="preserve">ch1:s12 (case tháo dỡ giàn khoan phỏng theo IFRS 13.IE35–IE39: nhân hệ số lạm phát rồi chiết khấu; caption chỉ rõ rủi ro tín dụng nằm trong tỷ lệ chiết khấu), quiz:ch1#23, synth:ch1 (bảng bài số của sách)</t>
  </si>
  <si>
    <t xml:space="preserve">Under IFRS 13, what is the fair value of liability Z for reporting purpose?</t>
  </si>
  <si>
    <t xml:space="preserve">Định nghĩa lợi ích cổ đông không kiểm soát</t>
  </si>
  <si>
    <t xml:space="preserve">ch2:s10 (concept: 'phần vốn chủ trong công ty con không thuộc về công ty mẹ, dù trực tiếp hay gián tiếp' — Phụ lục A IFRS 3), synth:ch2</t>
  </si>
  <si>
    <t xml:space="preserve">Under IFRS 3, the term ‘non-controlling interest’ refers to:</t>
  </si>
  <si>
    <t xml:space="preserve">2.4.3.1</t>
  </si>
  <si>
    <t xml:space="preserve">Giá trị hợp lý của bất động sản trong PPA — thẩm định độc lập thắng NPV nội bộ và giá trị ghi sổ</t>
  </si>
  <si>
    <t xml:space="preserve">ch2:s7 (PPE đo bằng cách tiếp cận thị trường hoặc thu nhập), ch1:s4 (giá trị sử dụng là thước gắn với chính đơn vị, không phải fair value; bảng cơ sở giá trị), ch1:s3 (kế hoạch của doanh nghiệp bị gạt ra ngoài), ch2:s8 (warn: không bê giá trị ghi sổ sang bảng giá trị hợp lý)</t>
  </si>
  <si>
    <t xml:space="preserve">Entity A acquired an office building as part of a business combination. The building’s net book value is $68 million. Based on management’s internal analysis, the net present value of future cash flows is estimated at $86 million. An independent appraisal places the building’s value at $66 million. </t>
  </si>
  <si>
    <t xml:space="preserve">Ngày hợp nhất kinh doanh = ngày giành được quyền điều hành</t>
  </si>
  <si>
    <t xml:space="preserve">ch2:s5 (concept 'ngày quyền điều hành đổi chủ, không phải ngày ký hay ngày trả tiền' + three_col SỚM/MUỘN/TIỆN), ch2:s1 (ba điều kiện của quyền kiểm soát), ch2:s12 (mua theo giai đoạn), quiz:ch2#12</t>
  </si>
  <si>
    <t xml:space="preserve">Entity A holds a 40% equity interest in Entity B, which in turn holds a 45% equity interest in Entity C. On 30 June 2025, Entity A acquired a direct 9% interest in Entity C, followed by an additional 7% on 5 January 2026. On 30 April 2026, Entity A acquired all of Entity C’s remaining interests. In </t>
  </si>
  <si>
    <t xml:space="preserve">Giá phí trả bằng cổ phiếu — lấy giá tại ngày mua, không lấy ngày ký hay ngày phát hành</t>
  </si>
  <si>
    <t xml:space="preserve">ch2:s5 (case bốn mức giá 6,20 · 6,70 · 6,50 · 6,10 + warn 'Bẫy giá cổ phiếu'), ch2:s11 (IFRS 3.37 'mọi mức giá trước hay sau ngày đó đều không được dùng'), quiz:ch2#19</t>
  </si>
  <si>
    <t xml:space="preserve">On 1 February 2026, Entity A entered into an agreement with the owners of Entity B to acquire the entire business of Entity B. Entity A agreed to issue 700,000 ordinary shares to the sellers upon closing of the transaction, when the transfer of Entity B’s business was completed. The fair value per s</t>
  </si>
  <si>
    <t xml:space="preserve">Khoản bị loại khỏi giá phí — dứt điểm quan hệ có sẵn, chi phí thâu tóm, chi phí phát hành cổ phần</t>
  </si>
  <si>
    <t xml:space="preserve">ch2:s12 (bảng 15.000.000 → 12.000.000, dòng 'dứt điểm tranh chấp cấp phép có từ trước' + warn IFRS 3.53 chi phí thâu tóm), quiz:ch2#18, quiz:ch2#3, synth:ch2 (warn 'Ba khoản làm goodwill phình lên oan')</t>
  </si>
  <si>
    <t xml:space="preserve">The consideration transferred for the acquisition of Entity B is:</t>
  </si>
  <si>
    <t xml:space="preserve">Goodwill = tổng gộp − tài sản thuần, trong đó thuế hoãn lại trừ vào tài sản thuần</t>
  </si>
  <si>
    <t xml:space="preserve">ch2:s9 (diagram_text công thức IFRS 3.32, ghi rõ 'trừ Thuế hoãn lại từ điều chỉnh giá trị hợp lý' + case startup AI 154 − 58 = 96), calc:case29-goodwill, quiz:ch2#13, synth:ch2 (bảng hai vế)</t>
  </si>
  <si>
    <t xml:space="preserve">The goodwill arising from the acquisition of Entity B is:</t>
  </si>
  <si>
    <t xml:space="preserve">Khoản thanh toán tiềm tàng vào giá phí ngay tại ngày mua ⇒ goodwill cao hơn</t>
  </si>
  <si>
    <t xml:space="preserve">ch2:s11 (concept IFRS 3.39 + bảng earn-out gia quyền xác suất + tip đọc cấu trúc earn-out), calc:may-tinh-gia-phi, quiz:ch2#16</t>
  </si>
  <si>
    <t xml:space="preserve">Entity A has agreed to pay the sellers of Entity B an additional $1,000,000 contingent consideration if Entity B’s cumulative revenue exceeds $6,000,000 for the two years ending 30 June 2028. The probability of achieving this target revenue is estimated at 50%. Compared to the goodwill determined in</t>
  </si>
  <si>
    <t xml:space="preserve">Điều kiện ghi nhận nợ tiềm tàng của bên bị mua</t>
  </si>
  <si>
    <t xml:space="preserve">ch2:s6 (two_col 'Nợ tiềm tàng — phải ghi nhận, ngay cả khi ít khả năng xảy ra', IFRS 3.23 bỏ điều kiện probable của IAS 37 + case hai vụ kiện), synth:ch2 (deflist), quiz:ch2#5</t>
  </si>
  <si>
    <t xml:space="preserve">When accounting for a business combination, a contingent liability of the acquiree is recognised if</t>
  </si>
  <si>
    <t xml:space="preserve">Sáp nhập ngang sức bằng hoán đổi cổ phần vẫn là hợp nhất kinh doanh, vẫn phải chỉ ra bên mua</t>
  </si>
  <si>
    <t xml:space="preserve">ch2:s4 (process bước 1 'mọi hợp nhất kinh doanh đều phải có đúng một bên mua' + bảng dấu hiệu IFRS 3.B14–B18 gồm quyền biểu quyết, ban điều hành, quy mô tương đối + warn mua ngược), ch2:s1 (IFRS 3.B5: phát hành công cụ vốn là một cách giành kiểm soát), ch2:s11 (cổ phiếu phát hành là giá phí), quiz:ch2#21</t>
  </si>
  <si>
    <t xml:space="preserve">Entity A and Entity B, both operating in the banking sector and holding equal levels of total equity, agreed to merge their operations in order to strengthen their market competitiveness. The merger was executed through a share exchange. Which of the following statements is true?</t>
  </si>
  <si>
    <t xml:space="preserve">Đội ngũ nhân sự không phải tài sản vô hình nhận diện được — nằm trong goodwill</t>
  </si>
  <si>
    <t xml:space="preserve">ch2:s7 (Bảng 2.1 năm nhóm: công nghệ chưa được cấp bằng · quan hệ khách hàng), ch3:s3–s4 (tiêu chí xác định được; IFRS 3.B37 nuốt vào goodwill), synth:ch3 (warn: 'lực lượng lao động đã tuyển dụng không được ghi nhận riêng — IFRS 3.B37 nuốt vào goodwill')</t>
  </si>
  <si>
    <t xml:space="preserve">Which of the following items does NOT meet the definition of an intangible asset under IFRS 3?</t>
  </si>
  <si>
    <t xml:space="preserve">Chênh lệch khi mua một nhóm hoạt động — goodwill từ giá phí trừ tài sản thuần</t>
  </si>
  <si>
    <t xml:space="preserve">ch2:s9 (concept + case 10 − 8 = 2 triệu và trường hợp mua rẻ + process bốn vòng rà IFRS 3.36), quiz:ch2#13, calc:case29-goodwill</t>
  </si>
  <si>
    <t xml:space="preserve">Entity A acquired the operations of Entity B for $560,000. The assets and liabilities obtained, measured at fair value net of deferred tax effects, are as follows: Plant $252,000 Inventory $140,000 Accounts receivable $63,000 Patents $35,000 Accounts payable $56,000 The difference arising on acquisi</t>
  </si>
  <si>
    <t xml:space="preserve">Giá phí chuyển giao gồm cổ phiếu của bên mua, tiền trả chậm chiết khấu ở suất của bên mua, và tài sản phi tiền tệ</t>
  </si>
  <si>
    <t xml:space="preserve">calc:case29-goodwill (bước 1 chiết khấu bằng chi phí nợ vay của BÊN MUA · bước 2 cổ phiếu theo giá ngày mua · bước 4 toà nhà trao đi vẫn là giá phí), ch2:s11 (deflist tiền/công cụ vốn: 'lãi suất chiết khấu thường là lãi suất đi vay của chính bên mua'), ch2:s14 (case 2.9 sáu cấu phần), calc:may-tinh-gia-phi, quiz:ch2#23</t>
  </si>
  <si>
    <t xml:space="preserve">The consideration transferred in accordance with IFRS 3 was:</t>
  </si>
  <si>
    <t xml:space="preserve">2.4.4–2.5</t>
  </si>
  <si>
    <t xml:space="preserve">Goodwill và NCI theo tỷ lệ tài sản thuần, có trừ thuế hoãn lại</t>
  </si>
  <si>
    <t xml:space="preserve">ch2:s7, ch2:s9, ch2:s10, calc:case29-goodwill, calc:nci-hai-cach, visual:goodwill-nci</t>
  </si>
  <si>
    <t xml:space="preserve">The value of NCI and goodwill (GW) were:</t>
  </si>
  <si>
    <t xml:space="preserve">Đo NCI theo giá trị hợp lý thì goodwill cao hơn (full vs partial goodwill)</t>
  </si>
  <si>
    <t xml:space="preserve">ch2:s10, calc:nci-hai-cach, visual:goodwill-nci, quiz:ch2 Q08/Q15</t>
  </si>
  <si>
    <t xml:space="preserve">If Entity A elects to measure the non-controlling interest (NCI) at fair value rather than at the proportionate share of Entity B’s identifiable net assets (the firm’s current practice), the amount of goodwill recognised will generally be:</t>
  </si>
  <si>
    <t xml:space="preserve">Tiêu chí xác định được: hợp đồng phân phối, bằng sáng chế, danh sách khách hàng bị điều khoản bảo mật khóa</t>
  </si>
  <si>
    <t xml:space="preserve">ch3:s3, syn:ch3 blocks.2, quiz:ch3 Q03/Q13</t>
  </si>
  <si>
    <t xml:space="preserve">Entity A acquired the healthcare business segment of Entity B which has the following assets: (I) An exclusive, long-term distribution agreement entered into by the healthcare business segment with a well-established pharmaceutical company. (II) A drug patent held by the healthcare business segment </t>
  </si>
  <si>
    <t xml:space="preserve">Giá phí chuyển giao: cổ phiếu theo FV, tiền trả chậm chiết khấu bằng chi phí vốn của BÊN MUA, loại chi phí phát hành vốn</t>
  </si>
  <si>
    <t xml:space="preserve">ch2:s11, ch2:s12, calc:case29-goodwill, calc:may-tinh-gia-phi, quiz:ch2 Q03/Q19</t>
  </si>
  <si>
    <t xml:space="preserve">Entity A acquired a controlling interest in Entity B on 31 March 2026. The key transaction details are as follows: Immediate cash payment to sellers of Entity B $5,000,000 Cash inflow from bank loan to finance the acquisition of Entity B $2,500,000 Fair value of shares issued to sellers of Entity B </t>
  </si>
  <si>
    <t xml:space="preserve">Chuyên gia của kiểm toán viên (ISA 620): trách nhiệm ý kiến, đánh giá năng lực, không bị ràng buộc bởi hợp đồng kiểm toán</t>
  </si>
  <si>
    <t xml:space="preserve">ch5:s5, ch5:s8, ch5:s9, syn:ch5 blocks.9-10, quiz:ch5 Q10/Q15</t>
  </si>
  <si>
    <t xml:space="preserve">The auditor for Entity A’s external audit has engaged an independent expert to support the valuation work. Which of the following statement(s) is (are) true? (I) The responsibility for issuing the audit opinion remains solely with the auditor and is not shared with the auditor’s expert. (II) The aud</t>
  </si>
  <si>
    <t xml:space="preserve">5.2.2–5.2.3</t>
  </si>
  <si>
    <t xml:space="preserve">Phạm vi công việc cho báo cáo tài chính, thống nhất trọng yếu từ đầu, ISA 500 đánh giá chuyên gia của ban giám đốc</t>
  </si>
  <si>
    <t xml:space="preserve">ch5:s4, ch5:s5, quiz:ch5 Q04/Q05/Q06</t>
  </si>
  <si>
    <t xml:space="preserve">The management of Entity A engages the services of a professional business valuer to provide assistance with fair value measurements. Which of the following statement(s) is (are) true? (I) In defining the scope of the assignment, it is essential to establish whether the engagement is intended for fi</t>
  </si>
  <si>
    <t xml:space="preserve">Tiêu chí xác định được: giấy phép và hợp đồng nhượng quyền đạt, quan hệ cá nhân của CEO trượt cả hai nhánh</t>
  </si>
  <si>
    <t xml:space="preserve">ch3:s3, ch3:s4, ch3:s5 (IFRS 3.B37), ch2:s6, syn:ch3 blocks.2</t>
  </si>
  <si>
    <t xml:space="preserve">Which of the following assets does NOT satisfy the identifiability criteria for recognition as an intangible asset acquired in a business combination?</t>
  </si>
  <si>
    <t xml:space="preserve">Danh sách khách hàng đạt tiêu chí tách rời được; đội ngũ nhân sự và vị thế thị trường thì không</t>
  </si>
  <si>
    <t xml:space="preserve">ch3:s3, ch3:s5, quiz:ch3 Q06/Q07/Q13</t>
  </si>
  <si>
    <t xml:space="preserve">According to IAS 38, which of the following can be classified as an intangible asset?</t>
  </si>
  <si>
    <t xml:space="preserve">Điều kiện ghi nhận IAS 38.21 — khả năng lợi ích kinh tế tương lai chảy về</t>
  </si>
  <si>
    <t xml:space="preserve">ch3:s5 (IAS 38.18/38.21), ch3:s2</t>
  </si>
  <si>
    <t xml:space="preserve">The recognition criteria that an asset must satisfy before it can be recognised and presented in the financial statements include the following:</t>
  </si>
  <si>
    <t xml:space="preserve">Ghi nhận ban đầu tài sản vô hình mua riêng lẻ theo giá gốc</t>
  </si>
  <si>
    <t xml:space="preserve">ch3:s5 (IAS 38.24, bảng bốn cách thụ đắc)</t>
  </si>
  <si>
    <t xml:space="preserve">For Entity A, at what amount should the patent be initially recognised in the financial statements?</t>
  </si>
  <si>
    <t xml:space="preserve">Đo lường SAU ghi nhận ban đầu: khấu hao theo đời sống hữu hạn và kiểm tra suy giảm</t>
  </si>
  <si>
    <t xml:space="preserve">ch4:s3 (vô hình đời sống hữu hạn không kiểm hằng năm), ch3:s14 (đời sống kinh tế)</t>
  </si>
  <si>
    <t xml:space="preserve">File không có phần đo lường sau ghi nhận của IAS 38 (mô hình giá gốc là mặc định, mô hình đánh giá lại chỉ khi có thị trường hoạt động; khấu hao theo đời sống hữu ích). Phương án A khác đáp án ĐÚNG một chi tiết duy nhất — 'carried at fair value' — và chính chi tiết đó không có ở đâu trong file để loại.</t>
  </si>
  <si>
    <t xml:space="preserve">Subsequent to initial recognition, the patent should be:</t>
  </si>
  <si>
    <t xml:space="preserve">Thời điểm kiểm tra suy giảm: hằng năm chỉ cho ba nhóm, phần còn lại rà dấu hiệu cuối mỗi kỳ</t>
  </si>
  <si>
    <t xml:space="preserve">ch4:s3 (IAS 36.9-10), quiz:ch4 Q03, syn:ch4 blocks.3</t>
  </si>
  <si>
    <t xml:space="preserve">Which of the following statement(s) is (are) false? (I) An impairment test for the patent must be performed annually to ensure that its carrying amount does not exceed its recoverable amount. (II) At the end of each reporting period, the patent must be assessed for any indication of impairment. (III</t>
  </si>
  <si>
    <t xml:space="preserve">Cấu thành giá gốc: giá mua cộng chi phí trực tiếp đưa tài sản vào trạng thái sử dụng</t>
  </si>
  <si>
    <t xml:space="preserve">ch3:s5 (IAS 38.27, IAS 38.28)</t>
  </si>
  <si>
    <t xml:space="preserve">The cost of an intangible asset is comprised of the fair value of the consideration:</t>
  </si>
  <si>
    <t xml:space="preserve">Suất chiết khấu cho một tài sản riêng lẻ là suất riêng của tài sản, không phải WACC hay WARA</t>
  </si>
  <si>
    <t xml:space="preserve">ch3:s14 (bảng IVS 210:90.03), ch2:s13 (WARA là phép kiểm chéo, không phải suất chiết khấu), quiz:ch3</t>
  </si>
  <si>
    <t xml:space="preserve">When applying the income approach to determine the value of an individual asset, what is the appropriate discount rate to use in calculating the present value of the future income, cash flows, or cost savings that a market participant could reasonably expect to achieve from owning the asset?</t>
  </si>
  <si>
    <t xml:space="preserve">Giá trị còn lại của tài sản vô hình, kết luận giá trị theo khoảng, và vai trò của thời hạn bảo hộ pháp lý</t>
  </si>
  <si>
    <t xml:space="preserve">ch3:s14 (thời hạn pháp lý chỉ là MỘT yếu tố của đời sống kinh tế → loại được ý III)</t>
  </si>
  <si>
    <t xml:space="preserve">Thiếu hai mắt xích quyết định giữa phương án B và C: (1) quy tắc giá trị còn lại của tài sản vô hình mặc định bằng 0 trừ khi có thị trường hoạt động hoặc có bên cam kết mua lại (IAS 38.100) — không có ở bất kỳ file nào; (2) quy ước kết luận giá trị trong định giá doanh nghiệp trình bày theo KHOẢNG — file chỉ có IFRS 13.63 nói ngược lại một nửa (chọn ĐIỂM đại diện nhất trong khoảng), dễ dẫn tới coi ý (II) là đúng.</t>
  </si>
  <si>
    <t xml:space="preserve">Which of the following statement(s) is (are) false regarding the valuation of intangibles? (I) The residual value of an intangible asset is usually assumed to be zero, except in cases where an active market exists or when there is a clear commitment from another entity to purchase the asset at the e</t>
  </si>
  <si>
    <t xml:space="preserve">MEEM có khoản phí tài sản đóng góp, quy ước giữa kỳ và giá trị cuối kỳ theo Gordon</t>
  </si>
  <si>
    <t xml:space="preserve">ch3:s10, calc:meem-quan-he-kh (thứ tự EBIT → thuế → CAC, hệ số giữa kỳ), calc:mien-tru-ban-quyen (giá trị cuối kỳ và hệ số 4,5 năm)</t>
  </si>
  <si>
    <t xml:space="preserve">Entity A has determined that it is appropriate to use the multi‑period excess earnings method to estimate the fair value of the trademark. Under this approach, the after‑tax aggregate contributory asset charge is estimated to be 7% of the revenue generated. What is the fair value of the ZenTin trade</t>
  </si>
  <si>
    <t xml:space="preserve">Miễn trừ tiền bản quyền: tỷ lệ trên doanh thu, trừ thuế, giá trị cuối kỳ chiết khấu bằng hệ số năm cuối</t>
  </si>
  <si>
    <t xml:space="preserve">ch3:s11, calc:mien-tru-ban-quyen</t>
  </si>
  <si>
    <t xml:space="preserve">Entity A has determined that it is appropriate to use the relief-from-royalty method to estimate the fair value of the trademark. Under this approach, Entity A would be able to charge a royalty rate of 5.5% of the revenue generated. What is the value of the ZenTin trademark as at the Measurement Dat</t>
  </si>
  <si>
    <t xml:space="preserve">Lợi ích khấu hao thuế TAB với đời sống khấu hao thuế 4 năm</t>
  </si>
  <si>
    <t xml:space="preserve">ch3:s14 (công thức K và TAB = PV × K/(1−K)), calc:may-tinh-tab (máy tính nhận N và suất chiết khấu bất kỳ)</t>
  </si>
  <si>
    <t xml:space="preserve">If the amortisation of the subject intangible asset is allowed for tax purposes over a 4‑year period, and Entity A has estimated that the total present value of after‑tax cash flows attributable to the trademark is $810,000, what should be the fair value of the trademark as at the Measurement Date?</t>
  </si>
  <si>
    <t xml:space="preserve">Đặc điểm của tài sản vô hình: không có hình thái vật chất, không phải nghĩa vụ</t>
  </si>
  <si>
    <t xml:space="preserve">ch3:s2 (IAS 38.8, IAS 38.BC5), quiz:ch3 Q01/Q02</t>
  </si>
  <si>
    <t xml:space="preserve">Which of the following statements is true regarding the key characteristics of intangible assets?</t>
  </si>
  <si>
    <t xml:space="preserve">Phạm vi IAS 36 — hàng tồn kho thuộc IAS 2</t>
  </si>
  <si>
    <t xml:space="preserve">ch4:s2 (bảng loại trừ), quiz:ch4 Q02</t>
  </si>
  <si>
    <t xml:space="preserve">Which of the following is NOT covered by IAS 36?</t>
  </si>
  <si>
    <t xml:space="preserve">Giá trị ghi sổ còn lại theo khấu hao đường thẳng trước khi kiểm tra suy giảm</t>
  </si>
  <si>
    <t xml:space="preserve">ch4:s9 (case nhà máy K: 3.000 → trần 2.400 theo nguyên giá đã khấu hao), ch4:s11</t>
  </si>
  <si>
    <t xml:space="preserve">What is the net carrying amount of the industrial site as at 31 December 2025, prior to conducting the impairment test?</t>
  </si>
  <si>
    <t xml:space="preserve">4.7.1–4.7.2</t>
  </si>
  <si>
    <t xml:space="preserve">Giá trị sử dụng với quy ước giữa kỳ, dòng tiền tăng 2%/năm, suất chiết khấu 14%</t>
  </si>
  <si>
    <t xml:space="preserve">ch4:s9, ch4:s10 (sách ghi nhận thông lệ tính VIU trên cơ sở sau thuế), calc:viu-fvlcd, calc:meem-quan-he-kh (hệ số giữa kỳ 1/(1+r)^(t−0,5))</t>
  </si>
  <si>
    <t xml:space="preserve">What is the value-in-use of the industrial site as at 31 December 2025, in accordance with IAS 36?</t>
  </si>
  <si>
    <t xml:space="preserve">Loại chi nâng cấp và phần dòng tiền tăng thêm nhờ nâng cấp khỏi VIU</t>
  </si>
  <si>
    <t xml:space="preserve">ch4:s9 (bảng phải LOẠI, IAS 36.44-45), quiz:ch4 Q06/Q07</t>
  </si>
  <si>
    <t xml:space="preserve">If Entity A invests $1.5 million in a quick refurbishment of the industrial site at the beginning of 2026, the annual after‑tax rental income for 2026 is expected to rise to $3.0 million, while the factory’s useful life and salvage value remain unchanged. The after‑tax rental income is projected to </t>
  </si>
  <si>
    <t xml:space="preserve">Ghi lỗ suy giảm khi giá trị ghi sổ vượt số thu hồi</t>
  </si>
  <si>
    <t xml:space="preserve">ch4:s1, ch4:s11, quiz:ch4 Q01</t>
  </si>
  <si>
    <t xml:space="preserve">Under IAS 36, impairment of an asset should be recognised when:</t>
  </si>
  <si>
    <t xml:space="preserve">Sàn IAS 36.105 — không hạ tài sản xuống dưới số cao nhất trong FVLCD, VIU và 0</t>
  </si>
  <si>
    <t xml:space="preserve">ch4:s12 (bước ba), calc:phan-bo-lo-cgu, quiz:ch4 Q09, visual:thac-phan-bo-cgu</t>
  </si>
  <si>
    <t xml:space="preserve">When allocating an impairment loss, an entity shall not reduce the carrying amount of an asset below the greater of:</t>
  </si>
  <si>
    <t xml:space="preserve">Phân bổ lỗ suy giảm theo tỷ lệ giá trị ghi sổ trong một CGU không có goodwill</t>
  </si>
  <si>
    <t xml:space="preserve">ch4:s12, calc:phan-bo-lo-cgu, visual:thac-phan-bo-cgu</t>
  </si>
  <si>
    <t xml:space="preserve">Entity A recognised an estimated impairment loss of $1,500 against its single cash‑generating unit. The cash-generating unit’s assets were as follows: Carrying amount Building $3,400 Plant and infrastructure $2,900 Equipment $1,200 The net carrying amount of the plant and infrastructure after alloca</t>
  </si>
  <si>
    <t xml:space="preserve">4.9–4.10</t>
  </si>
  <si>
    <t xml:space="preserve">Goodwill lãnh lỗ trước; hết lỗ thì tài sản còn lại giữ nguyên giá trị ghi sổ</t>
  </si>
  <si>
    <t xml:space="preserve">ch4:s12 (thứ nhất — goodwill lãnh đủ trước), ch4:s13, visual:thac-phan-bo-cgu</t>
  </si>
  <si>
    <t xml:space="preserve">The carrying amount of Entity A’s cash‑generating unit was determined to be impaired, resulting in an impairment loss of $1,100. The unit comprised the following assets: Carrying amount Goodwill $1,200 Building $3,500 Plant and equipment $3,000 Entity A would receive $2,500 if it sold the plant and </t>
  </si>
  <si>
    <t xml:space="preserve">Phân bổ tài sản chung cho CGU rồi so với số thu hồi để ra lỗ</t>
  </si>
  <si>
    <t xml:space="preserve">ch4:s14 (nhánh (a) phân bổ được), quiz:ch4 Q17/Q25</t>
  </si>
  <si>
    <t xml:space="preserve">Entity A has two cash‑generating units (CGU). CGU X has a carrying amount of $1,350 and a value in use of $950. CGU Y has a carrying amount of $1,650 and a value in use of $1,350. The carrying amount of head office assets is $900, and these assets are utilised equally by CGUs X and Y. The impairment</t>
  </si>
  <si>
    <t xml:space="preserve">Phân bổ lỗ cho CGU: goodwill trước, nền chia loại tiền, phải thu, tồn kho</t>
  </si>
  <si>
    <t xml:space="preserve">ch4:s12, ch4:s2 (cảnh báo mẫu số), calc:phan-bo-lo-cgu</t>
  </si>
  <si>
    <t xml:space="preserve">What is the net carrying amount of PPE in CGU X after allocation of the impairment loss?</t>
  </si>
  <si>
    <t xml:space="preserve">CGU có tài sản chung phân bổ được: goodwill xoá trước, chia pro-rata gồm cả phần tài sản chung, chặn sàn ở đất rồi chia lại phần thừa</t>
  </si>
  <si>
    <t xml:space="preserve">ch4:s14 (case Entity M — tòa nhà được phân bổ cũng gánh lỗ theo tỷ trọng), ch4:s12 (bước bốn — chia lại phần bị sàn chặn), calc:phan-bo-lo-cgu</t>
  </si>
  <si>
    <t xml:space="preserve">What is the net carrying amount of PPE in CGU Y after allocation of the impairment loss?</t>
  </si>
  <si>
    <t xml:space="preserve">CÁCH CHẤM VÀ ĐIỂM MÙ CỦA PHÉP CHẤM NÀY</t>
  </si>
  <si>
    <t xml:space="preserve">Kiến thức thi được định nghĩa là gì</t>
  </si>
  <si>
    <t xml:space="preserve">Toàn bộ mục đánh số trong cva-prog-module4-valuation-for-financial-reporting.pdf — 105 mục — cộng 60 câu đề thi thử cuối sách. Đây là tài liệu chính thức của chương trình CVA, không phải một danh mục do tôi tự đặt ra.</t>
  </si>
  <si>
    <t xml:space="preserve">Kỳ vọng lấy từ đâu</t>
  </si>
  <si>
    <t xml:space="preserve">Từ NGUỒN, không từ file HTML. Người chấm đọc mục trong giáo trình trước, tự liệt kê các điểm dạy được, rồi mới mở HTML để đối chiếu. Làm ngược lại thì cái gì có trong HTML cũng sẽ khớp với sách, và kết quả luôn ra "đủ".</t>
  </si>
  <si>
    <t xml:space="preserve">Bốn mức chấm</t>
  </si>
  <si>
    <t xml:space="preserve">ĐỦ = mọi điểm dạy được đều có, ở độ sâu tương đương hoặc hơn. MỎNG = có ý chính, hụt chi tiết đề có thể hỏi. THIẾU = điểm cốt lõi không có ở đâu. KHÔNG CẦN = mục không mang nội dung thi (câu chuyển, lời dẫn).</t>
  </si>
  <si>
    <t xml:space="preserve">Cách tính % phủ</t>
  </si>
  <si>
    <t xml:space="preserve">ĐỦ tính 1 điểm, MỎNG tính 0,5 điểm, THIẾU tính 0, các mục KHÔNG CẦN bị loại khỏi mẫu số. Con số này là quy ước để so giữa các chương, không phải xác suất đỗ.</t>
  </si>
  <si>
    <t xml:space="preserve">Cột "Tín hiệu máy" nghĩa là gì</t>
  </si>
  <si>
    <t xml:space="preserve">Phép đếm tự động: bao nhiêu phần trăm mã chuẩn mực và con số của mục xuất hiện lại trong HTML. ĐỪNG DÙNG NÓ THAY CHO CỘT KẾT QUẢ. Nó sai cả hai chiều: 9 mục nó báo từ 80% trở lên nhưng người đọc chấm ra MỎNG hoặc THIẾU, và ngược lại nhiều mục thuần định tính nó báo 0% trong khi nội dung đủ. Cột này để trong file làm bằng chứng rằng phép đo tự động không thay được người đọc.</t>
  </si>
  <si>
    <t xml:space="preserve">Ai chấm</t>
  </si>
  <si>
    <t xml:space="preserve">Mỗi chương do một người soát riêng, không phải người đã soạn chương đó. Mỗi câu đề thi thử được đọc cả lời giải rồi mới đi tìm trong file.</t>
  </si>
  <si>
    <t xml:space="preserve">ĐIỂM MÙ 1 — chấm theo mục, không theo câu hỏi thật</t>
  </si>
  <si>
    <t xml:space="preserve">Một mục chấm ĐỦ vẫn có thể ra một câu hỏi xoáy vào góc mà file không nhấn. Sheet Đề thi thử bù cho điểm mù này, nhưng chỉ với 60 câu; đề thi thật có thể hỏi khác.</t>
  </si>
  <si>
    <t xml:space="preserve">ĐIỂM MÙ 2 — Phụ lục B của Module 3 không được chấm</t>
  </si>
  <si>
    <t xml:space="preserve">Không áp dụng cho Module 4 — phụ lục của module này rất ngắn và đã được phủ.</t>
  </si>
  <si>
    <t xml:space="preserve">Cột "Đã vá?" nghĩa là gì</t>
  </si>
  <si>
    <t xml:space="preserve">Sau lần chấm này, toàn bộ mục THIẾU và MỎNG đã được bổ sung vào file HTML: thêm bảng số của sách, thêm ngưỡng và ngoại lệ còn hụt, thêm câu quiz cho các dạng bài chưa có. CẢNH BÁO ĐỌC ĐÚNG: "đã vá" nghĩa là bản vá ĐÃ ĐƯỢC VIẾT theo đúng mô tả ở cột bên cạnh và đã qua cổng kiểm cấu trúc — KHÔNG có nghĩa là mục đó đã được chấm lại độc lập từ đầu. Cột "Kết quả lần chấm" vẫn giữ nguyên kết quả của lần chấm ĐẦU để anh đối chiếu được. Muốn có con số phủ mới thì phải chạy lại trọn vòng chấm.</t>
  </si>
  <si>
    <t xml:space="preserve">ĐIỂM MÙ 3 — không đo chất lượng dạy</t>
  </si>
  <si>
    <t xml:space="preserve">Phép chấm hỏi "nội dung có mặt không", không hỏi "dạy có dễ hiểu không" hay "câu quiz có đúng không". Hai việc đó đã kiểm ở vòng khác: 100% đáp án quiz được dò ngược về câu chữ trong PDF, và văn xuôi tiếng Việt đã qua một lượt đọc nguội độc lập.</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</si>
</sst>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1"/>
      <name val="Arial"/>
      <family val="0"/>
      <charset val="1"/>
    </font>
    <font>
      <b val="true"/>
      <sz val="10"/>
      <color rgb="FFFFFFFF"/>
      <name val="Arial"/>
      <family val="0"/>
      <charset val="1"/>
    </font>
    <font>
      <sz val="10"/>
      <name val="Arial"/>
      <family val="0"/>
      <charset val="1"/>
    </font>
    <font>
      <i val="true"/>
      <sz val="10"/>
      <name val="Arial"/>
      <family val="0"/>
      <charset val="1"/>
    </font>
    <font>
      <b val="true"/>
      <sz val="13"/>
      <color rgb="FF1F3864"/>
      <name val="Arial"/>
      <family val="0"/>
      <charset val="1"/>
    </font>
    <font>
      <b val="true"/>
      <sz val="10"/>
      <name val="Arial"/>
      <family val="0"/>
      <charset val="1"/>
    </font>
    <font>
      <b val="true"/>
      <sz val="12"/>
      <color rgb="FF1F3864"/>
      <name val="Arial"/>
      <family val="0"/>
      <charset val="1"/>
    </font>
    <font>
      <b val="true"/>
      <sz val="10"/>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AD3"/>
        <bgColor rgb="FFEAEFF7"/>
      </patternFill>
    </fill>
    <fill>
      <patternFill patternType="solid">
        <fgColor rgb="FFFFF2CC"/>
        <bgColor rgb="FFF2F2F2"/>
      </patternFill>
    </fill>
    <fill>
      <patternFill patternType="solid">
        <fgColor rgb="FFEAEFF7"/>
        <bgColor rgb="FFF2F2F2"/>
      </patternFill>
    </fill>
    <fill>
      <patternFill patternType="solid">
        <fgColor rgb="FFF2F2F2"/>
        <bgColor rgb="FFEAEFF7"/>
      </patternFill>
    </fill>
    <fill>
      <patternFill patternType="solid">
        <fgColor rgb="FFF8D7DA"/>
        <bgColor rgb="FFFFF2CC"/>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5"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8D7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EFF7"/>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F2F2F2"/>
      <rgbColor rgb="FFD9EAD3"/>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96"/>
    <col collapsed="false" customWidth="true" hidden="false" outlineLevel="0" max="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row>
    <row r="5" customFormat="false" ht="15" hidden="false" customHeight="false" outlineLevel="0" collapsed="false">
      <c r="A5" s="4" t="n">
        <v>1</v>
      </c>
      <c r="B5" s="4" t="s">
        <v>6</v>
      </c>
      <c r="C5" s="5" t="s">
        <v>7</v>
      </c>
      <c r="D5" s="4" t="n">
        <v>5</v>
      </c>
    </row>
    <row r="6" customFormat="false" ht="15" hidden="false" customHeight="false" outlineLevel="0" collapsed="false">
      <c r="A6" s="4" t="n">
        <v>2</v>
      </c>
      <c r="B6" s="4" t="s">
        <v>8</v>
      </c>
      <c r="C6" s="5" t="s">
        <v>9</v>
      </c>
      <c r="D6" s="4" t="n">
        <v>105</v>
      </c>
    </row>
    <row r="7" customFormat="false" ht="15" hidden="false" customHeight="false" outlineLevel="0" collapsed="false">
      <c r="A7" s="4" t="n">
        <v>3</v>
      </c>
      <c r="B7" s="4" t="s">
        <v>10</v>
      </c>
      <c r="C7" s="5" t="s">
        <v>11</v>
      </c>
      <c r="D7" s="4" t="n">
        <v>24</v>
      </c>
    </row>
    <row r="8" customFormat="false" ht="15" hidden="false" customHeight="false" outlineLevel="0" collapsed="false">
      <c r="A8" s="4" t="n">
        <v>4</v>
      </c>
      <c r="B8" s="4" t="s">
        <v>12</v>
      </c>
      <c r="C8" s="5" t="s">
        <v>13</v>
      </c>
      <c r="D8" s="4" t="n">
        <v>60</v>
      </c>
    </row>
    <row r="9" customFormat="false" ht="15" hidden="false" customHeight="false" outlineLevel="0" collapsed="false">
      <c r="A9" s="4" t="n">
        <v>5</v>
      </c>
      <c r="B9" s="4" t="s">
        <v>14</v>
      </c>
      <c r="C9" s="5" t="s">
        <v>15</v>
      </c>
      <c r="D9" s="4"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2" topLeftCell="A2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0"/>
    <col collapsed="false" customWidth="true" hidden="false" outlineLevel="0" max="4" min="4" style="0" width="96"/>
    <col collapsed="false" customWidth="true" hidden="false" outlineLevel="0" max="5" min="5" style="0" width="78"/>
    <col collapsed="false" customWidth="true" hidden="false" outlineLevel="0" max="7" min="6" style="0" width="8"/>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62"/>
  </cols>
  <sheetData>
    <row r="1" customFormat="false" ht="17.35" hidden="false" customHeight="false" outlineLevel="0" collapsed="false">
      <c r="A1" s="1" t="s">
        <v>16</v>
      </c>
    </row>
    <row r="2" customFormat="false" ht="15" hidden="false" customHeight="false" outlineLevel="0" collapsed="false">
      <c r="A2" s="6" t="s">
        <v>17</v>
      </c>
    </row>
    <row r="4" customFormat="false" ht="16.15" hidden="false" customHeight="false" outlineLevel="0" collapsed="false">
      <c r="A4" s="7" t="s">
        <v>18</v>
      </c>
    </row>
    <row r="5" customFormat="false" ht="30" hidden="false" customHeight="true" outlineLevel="0" collapsed="false">
      <c r="A5" s="3" t="s">
        <v>19</v>
      </c>
      <c r="B5" s="3" t="s">
        <v>20</v>
      </c>
      <c r="C5" s="3" t="s">
        <v>21</v>
      </c>
      <c r="D5" s="3" t="s">
        <v>22</v>
      </c>
      <c r="E5" s="3" t="s">
        <v>23</v>
      </c>
      <c r="F5" s="3" t="s">
        <v>24</v>
      </c>
      <c r="G5" s="3" t="s">
        <v>25</v>
      </c>
      <c r="H5" s="3" t="s">
        <v>26</v>
      </c>
      <c r="I5" s="3" t="s">
        <v>27</v>
      </c>
      <c r="J5" s="3" t="s">
        <v>28</v>
      </c>
      <c r="K5" s="3" t="s">
        <v>29</v>
      </c>
    </row>
    <row r="6" customFormat="false" ht="23.85" hidden="false" customHeight="false" outlineLevel="0" collapsed="false">
      <c r="A6" s="5" t="s">
        <v>30</v>
      </c>
      <c r="B6" s="4" t="s">
        <v>31</v>
      </c>
      <c r="C6" s="4" t="s">
        <v>32</v>
      </c>
      <c r="D6" s="4" t="n">
        <v>20</v>
      </c>
      <c r="E6" s="4" t="n">
        <v>15</v>
      </c>
      <c r="F6" s="4" t="n">
        <v>5</v>
      </c>
      <c r="G6" s="4" t="n">
        <v>0</v>
      </c>
      <c r="H6" s="4" t="n">
        <v>0</v>
      </c>
      <c r="I6" s="8" t="n">
        <f aca="false">IF(D6-H6=0,"",(E6+0.5*F6)/(D6-H6))</f>
        <v>0.875</v>
      </c>
      <c r="J6" s="9" t="s">
        <v>33</v>
      </c>
      <c r="K6" s="5" t="s">
        <v>34</v>
      </c>
    </row>
    <row r="7" customFormat="false" ht="23.85" hidden="false" customHeight="false" outlineLevel="0" collapsed="false">
      <c r="A7" s="5" t="s">
        <v>35</v>
      </c>
      <c r="B7" s="4" t="s">
        <v>36</v>
      </c>
      <c r="C7" s="4" t="s">
        <v>37</v>
      </c>
      <c r="D7" s="4" t="n">
        <v>24</v>
      </c>
      <c r="E7" s="4" t="n">
        <v>20</v>
      </c>
      <c r="F7" s="4" t="n">
        <v>2</v>
      </c>
      <c r="G7" s="4" t="n">
        <v>0</v>
      </c>
      <c r="H7" s="4" t="n">
        <v>2</v>
      </c>
      <c r="I7" s="8" t="n">
        <f aca="false">IF(D7-H7=0,"",(E7+0.5*F7)/(D7-H7))</f>
        <v>0.954545454545455</v>
      </c>
      <c r="J7" s="9" t="s">
        <v>38</v>
      </c>
      <c r="K7" s="5" t="s">
        <v>39</v>
      </c>
    </row>
    <row r="8" customFormat="false" ht="23.85" hidden="false" customHeight="false" outlineLevel="0" collapsed="false">
      <c r="A8" s="5" t="s">
        <v>40</v>
      </c>
      <c r="B8" s="4" t="s">
        <v>41</v>
      </c>
      <c r="C8" s="4" t="s">
        <v>42</v>
      </c>
      <c r="D8" s="4" t="n">
        <v>28</v>
      </c>
      <c r="E8" s="4" t="n">
        <v>18</v>
      </c>
      <c r="F8" s="4" t="n">
        <v>8</v>
      </c>
      <c r="G8" s="4" t="n">
        <v>0</v>
      </c>
      <c r="H8" s="4" t="n">
        <v>2</v>
      </c>
      <c r="I8" s="10" t="n">
        <f aca="false">IF(D8-H8=0,"",(E8+0.5*F8)/(D8-H8))</f>
        <v>0.846153846153846</v>
      </c>
      <c r="J8" s="11" t="s">
        <v>43</v>
      </c>
      <c r="K8" s="5" t="s">
        <v>44</v>
      </c>
    </row>
    <row r="9" customFormat="false" ht="23.85" hidden="false" customHeight="false" outlineLevel="0" collapsed="false">
      <c r="A9" s="5" t="s">
        <v>45</v>
      </c>
      <c r="B9" s="4" t="s">
        <v>46</v>
      </c>
      <c r="C9" s="4" t="s">
        <v>47</v>
      </c>
      <c r="D9" s="4" t="n">
        <v>18</v>
      </c>
      <c r="E9" s="4" t="n">
        <v>10</v>
      </c>
      <c r="F9" s="4" t="n">
        <v>7</v>
      </c>
      <c r="G9" s="4" t="n">
        <v>0</v>
      </c>
      <c r="H9" s="4" t="n">
        <v>1</v>
      </c>
      <c r="I9" s="10" t="n">
        <f aca="false">IF(D9-H9=0,"",(E9+0.5*F9)/(D9-H9))</f>
        <v>0.794117647058824</v>
      </c>
      <c r="J9" s="11" t="s">
        <v>43</v>
      </c>
      <c r="K9" s="5" t="s">
        <v>48</v>
      </c>
    </row>
    <row r="10" customFormat="false" ht="23.85" hidden="false" customHeight="false" outlineLevel="0" collapsed="false">
      <c r="A10" s="5" t="s">
        <v>49</v>
      </c>
      <c r="B10" s="4" t="s">
        <v>50</v>
      </c>
      <c r="C10" s="4" t="s">
        <v>51</v>
      </c>
      <c r="D10" s="4" t="n">
        <v>15</v>
      </c>
      <c r="E10" s="4" t="n">
        <v>11</v>
      </c>
      <c r="F10" s="4" t="n">
        <v>2</v>
      </c>
      <c r="G10" s="4" t="n">
        <v>0</v>
      </c>
      <c r="H10" s="4" t="n">
        <v>2</v>
      </c>
      <c r="I10" s="8" t="n">
        <f aca="false">IF(D10-H10=0,"",(E10+0.5*F10)/(D10-H10))</f>
        <v>0.923076923076923</v>
      </c>
      <c r="J10" s="9" t="s">
        <v>33</v>
      </c>
      <c r="K10" s="5" t="s">
        <v>52</v>
      </c>
    </row>
    <row r="11" customFormat="false" ht="23.85" hidden="false" customHeight="false" outlineLevel="0" collapsed="false">
      <c r="A11" s="12" t="s">
        <v>53</v>
      </c>
      <c r="B11" s="12"/>
      <c r="C11" s="12"/>
      <c r="D11" s="12" t="n">
        <f aca="false">SUM(D6:D10)</f>
        <v>105</v>
      </c>
      <c r="E11" s="12" t="n">
        <f aca="false">SUM(E6:E10)</f>
        <v>74</v>
      </c>
      <c r="F11" s="12" t="n">
        <f aca="false">SUM(F6:F10)</f>
        <v>24</v>
      </c>
      <c r="G11" s="12" t="n">
        <f aca="false">SUM(G6:G10)</f>
        <v>0</v>
      </c>
      <c r="H11" s="12" t="n">
        <f aca="false">SUM(H6:H10)</f>
        <v>7</v>
      </c>
      <c r="I11" s="13" t="n">
        <f aca="false">(E11+0.5*F11)/(D11-H11)</f>
        <v>0.877551020408163</v>
      </c>
      <c r="J11" s="12"/>
      <c r="K11" s="14" t="s">
        <v>54</v>
      </c>
    </row>
    <row r="14" customFormat="false" ht="16.15" hidden="false" customHeight="false" outlineLevel="0" collapsed="false">
      <c r="A14" s="7" t="s">
        <v>55</v>
      </c>
    </row>
    <row r="15" customFormat="false" ht="30" hidden="false" customHeight="true" outlineLevel="0" collapsed="false">
      <c r="A15" s="3" t="s">
        <v>56</v>
      </c>
      <c r="B15" s="3" t="s">
        <v>20</v>
      </c>
      <c r="C15" s="3" t="s">
        <v>57</v>
      </c>
      <c r="D15" s="3" t="s">
        <v>58</v>
      </c>
      <c r="E15" s="3" t="s">
        <v>29</v>
      </c>
    </row>
    <row r="16" customFormat="false" ht="23.85" hidden="false" customHeight="false" outlineLevel="0" collapsed="false">
      <c r="A16" s="5" t="s">
        <v>59</v>
      </c>
      <c r="B16" s="4" t="s">
        <v>60</v>
      </c>
      <c r="C16" s="4" t="s">
        <v>61</v>
      </c>
      <c r="D16" s="9" t="s">
        <v>62</v>
      </c>
      <c r="E16" s="5" t="s">
        <v>63</v>
      </c>
    </row>
    <row r="17" customFormat="false" ht="23.85" hidden="false" customHeight="false" outlineLevel="0" collapsed="false">
      <c r="A17" s="5" t="s">
        <v>64</v>
      </c>
      <c r="B17" s="4" t="s">
        <v>65</v>
      </c>
      <c r="C17" s="4" t="s">
        <v>61</v>
      </c>
      <c r="D17" s="11" t="s">
        <v>66</v>
      </c>
      <c r="E17" s="5" t="s">
        <v>67</v>
      </c>
    </row>
    <row r="18" customFormat="false" ht="15" hidden="false" customHeight="false" outlineLevel="0" collapsed="false">
      <c r="A18" s="5" t="s">
        <v>68</v>
      </c>
      <c r="B18" s="4" t="s">
        <v>69</v>
      </c>
      <c r="C18" s="4" t="s">
        <v>70</v>
      </c>
      <c r="D18" s="15" t="s">
        <v>71</v>
      </c>
      <c r="E18" s="5" t="s">
        <v>72</v>
      </c>
    </row>
    <row r="21" customFormat="false" ht="16.15" hidden="false" customHeight="false" outlineLevel="0" collapsed="false">
      <c r="A21" s="7" t="s">
        <v>73</v>
      </c>
    </row>
    <row r="22" customFormat="false" ht="30" hidden="false" customHeight="true" outlineLevel="0" collapsed="false">
      <c r="A22" s="3" t="s">
        <v>74</v>
      </c>
      <c r="B22" s="3" t="s">
        <v>75</v>
      </c>
      <c r="C22" s="3" t="s">
        <v>76</v>
      </c>
      <c r="D22" s="3" t="s">
        <v>77</v>
      </c>
    </row>
    <row r="23" customFormat="false" ht="15" hidden="false" customHeight="false" outlineLevel="0" collapsed="false">
      <c r="A23" s="9" t="s">
        <v>78</v>
      </c>
      <c r="B23" s="4" t="n">
        <v>57</v>
      </c>
      <c r="C23" s="16" t="n">
        <f aca="false">B23/60</f>
        <v>0.95</v>
      </c>
      <c r="D23" s="5" t="s">
        <v>79</v>
      </c>
    </row>
    <row r="24" customFormat="false" ht="15" hidden="false" customHeight="false" outlineLevel="0" collapsed="false">
      <c r="A24" s="11" t="s">
        <v>80</v>
      </c>
      <c r="B24" s="4" t="n">
        <v>3</v>
      </c>
      <c r="C24" s="16" t="n">
        <f aca="false">B24/60</f>
        <v>0.05</v>
      </c>
      <c r="D24" s="5" t="s">
        <v>81</v>
      </c>
    </row>
    <row r="25" customFormat="false" ht="15" hidden="false" customHeight="false" outlineLevel="0" collapsed="false">
      <c r="A25" s="17" t="s">
        <v>82</v>
      </c>
      <c r="B25" s="4" t="n">
        <v>0</v>
      </c>
      <c r="C25" s="16" t="n">
        <f aca="false">B25/60</f>
        <v>0</v>
      </c>
      <c r="D25" s="5"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4" min="3" style="0" width="9"/>
    <col collapsed="false" customWidth="true" hidden="false" outlineLevel="0" max="5" min="5" style="0" width="12"/>
    <col collapsed="false" customWidth="true" hidden="false" outlineLevel="0" max="6" min="6" style="0" width="10"/>
    <col collapsed="false" customWidth="true" hidden="false" outlineLevel="0" max="7" min="7" style="0" width="11"/>
    <col collapsed="false" customWidth="true" hidden="false" outlineLevel="0" max="8" min="8" style="0" width="8"/>
    <col collapsed="false" customWidth="true" hidden="false" outlineLevel="0" max="9" min="9" style="0" width="30"/>
    <col collapsed="false" customWidth="true" hidden="false" outlineLevel="0" max="11" min="10" style="0" width="60"/>
    <col collapsed="false" customWidth="true" hidden="false" outlineLevel="0" max="12" min="12" style="0" width="11"/>
  </cols>
  <sheetData>
    <row r="1" customFormat="false" ht="30" hidden="false" customHeight="true" outlineLevel="0" collapsed="false">
      <c r="A1" s="3" t="s">
        <v>84</v>
      </c>
      <c r="B1" s="3" t="s">
        <v>85</v>
      </c>
      <c r="C1" s="3" t="s">
        <v>86</v>
      </c>
      <c r="D1" s="3" t="s">
        <v>87</v>
      </c>
      <c r="E1" s="3" t="s">
        <v>88</v>
      </c>
      <c r="F1" s="3" t="s">
        <v>89</v>
      </c>
      <c r="G1" s="3" t="s">
        <v>90</v>
      </c>
      <c r="H1" s="3" t="s">
        <v>91</v>
      </c>
      <c r="I1" s="3" t="s">
        <v>57</v>
      </c>
      <c r="J1" s="3" t="s">
        <v>92</v>
      </c>
      <c r="K1" s="3" t="s">
        <v>93</v>
      </c>
      <c r="L1" s="3" t="s">
        <v>94</v>
      </c>
    </row>
    <row r="2" customFormat="false" ht="15" hidden="false" customHeight="false" outlineLevel="0" collapsed="false">
      <c r="A2" s="4" t="s">
        <v>95</v>
      </c>
      <c r="B2" s="5" t="s">
        <v>96</v>
      </c>
      <c r="C2" s="4" t="s">
        <v>32</v>
      </c>
      <c r="D2" s="4" t="n">
        <v>482</v>
      </c>
      <c r="E2" s="9" t="s">
        <v>23</v>
      </c>
      <c r="F2" s="4"/>
      <c r="G2" s="4" t="s">
        <v>97</v>
      </c>
      <c r="H2" s="4" t="n">
        <v>1</v>
      </c>
      <c r="I2" s="5" t="s">
        <v>98</v>
      </c>
      <c r="J2" s="5"/>
      <c r="K2" s="5"/>
      <c r="L2" s="16" t="n">
        <v>1</v>
      </c>
    </row>
    <row r="3" customFormat="false" ht="15" hidden="false" customHeight="false" outlineLevel="0" collapsed="false">
      <c r="A3" s="4" t="s">
        <v>99</v>
      </c>
      <c r="B3" s="5" t="s">
        <v>100</v>
      </c>
      <c r="C3" s="4" t="s">
        <v>32</v>
      </c>
      <c r="D3" s="4" t="n">
        <v>74</v>
      </c>
      <c r="E3" s="9" t="s">
        <v>23</v>
      </c>
      <c r="F3" s="4"/>
      <c r="G3" s="4" t="s">
        <v>101</v>
      </c>
      <c r="H3" s="4" t="n">
        <v>1</v>
      </c>
      <c r="I3" s="5" t="s">
        <v>102</v>
      </c>
      <c r="J3" s="5"/>
      <c r="K3" s="5"/>
      <c r="L3" s="16" t="n">
        <v>1</v>
      </c>
    </row>
    <row r="4" customFormat="false" ht="15" hidden="false" customHeight="false" outlineLevel="0" collapsed="false">
      <c r="A4" s="4" t="s">
        <v>103</v>
      </c>
      <c r="B4" s="5" t="s">
        <v>104</v>
      </c>
      <c r="C4" s="4" t="s">
        <v>32</v>
      </c>
      <c r="D4" s="4" t="n">
        <v>365</v>
      </c>
      <c r="E4" s="9" t="s">
        <v>23</v>
      </c>
      <c r="F4" s="4"/>
      <c r="G4" s="4" t="s">
        <v>101</v>
      </c>
      <c r="H4" s="4" t="n">
        <v>1</v>
      </c>
      <c r="I4" s="5" t="s">
        <v>105</v>
      </c>
      <c r="J4" s="5"/>
      <c r="K4" s="5"/>
      <c r="L4" s="16" t="n">
        <v>0.75</v>
      </c>
    </row>
    <row r="5" customFormat="false" ht="15" hidden="false" customHeight="false" outlineLevel="0" collapsed="false">
      <c r="A5" s="4" t="s">
        <v>106</v>
      </c>
      <c r="B5" s="5" t="s">
        <v>107</v>
      </c>
      <c r="C5" s="4" t="s">
        <v>32</v>
      </c>
      <c r="D5" s="4" t="n">
        <v>132</v>
      </c>
      <c r="E5" s="9" t="s">
        <v>23</v>
      </c>
      <c r="F5" s="4"/>
      <c r="G5" s="4" t="s">
        <v>97</v>
      </c>
      <c r="H5" s="4" t="n">
        <v>0</v>
      </c>
      <c r="I5" s="5" t="s">
        <v>108</v>
      </c>
      <c r="J5" s="5"/>
      <c r="K5" s="5"/>
      <c r="L5" s="16" t="n">
        <v>0.75</v>
      </c>
    </row>
    <row r="6" customFormat="false" ht="15" hidden="false" customHeight="false" outlineLevel="0" collapsed="false">
      <c r="A6" s="4" t="s">
        <v>109</v>
      </c>
      <c r="B6" s="5" t="s">
        <v>110</v>
      </c>
      <c r="C6" s="4" t="s">
        <v>32</v>
      </c>
      <c r="D6" s="4" t="n">
        <v>632</v>
      </c>
      <c r="E6" s="9" t="s">
        <v>23</v>
      </c>
      <c r="F6" s="4"/>
      <c r="G6" s="4" t="s">
        <v>97</v>
      </c>
      <c r="H6" s="4" t="n">
        <v>1</v>
      </c>
      <c r="I6" s="5" t="s">
        <v>111</v>
      </c>
      <c r="J6" s="5"/>
      <c r="K6" s="5"/>
      <c r="L6" s="16" t="n">
        <v>0.75</v>
      </c>
    </row>
    <row r="7" customFormat="false" ht="35.05" hidden="false" customHeight="false" outlineLevel="0" collapsed="false">
      <c r="A7" s="4" t="s">
        <v>112</v>
      </c>
      <c r="B7" s="5" t="s">
        <v>113</v>
      </c>
      <c r="C7" s="4" t="s">
        <v>32</v>
      </c>
      <c r="D7" s="4" t="n">
        <v>173</v>
      </c>
      <c r="E7" s="11" t="s">
        <v>24</v>
      </c>
      <c r="F7" s="9" t="s">
        <v>114</v>
      </c>
      <c r="G7" s="4" t="s">
        <v>115</v>
      </c>
      <c r="H7" s="4" t="n">
        <v>0</v>
      </c>
      <c r="I7" s="5" t="s">
        <v>116</v>
      </c>
      <c r="J7" s="5" t="s">
        <v>117</v>
      </c>
      <c r="K7" s="5" t="s">
        <v>118</v>
      </c>
      <c r="L7" s="16" t="n">
        <v>1</v>
      </c>
    </row>
    <row r="8" customFormat="false" ht="15" hidden="false" customHeight="false" outlineLevel="0" collapsed="false">
      <c r="A8" s="4" t="s">
        <v>119</v>
      </c>
      <c r="B8" s="5" t="s">
        <v>120</v>
      </c>
      <c r="C8" s="4" t="s">
        <v>32</v>
      </c>
      <c r="D8" s="4" t="n">
        <v>796</v>
      </c>
      <c r="E8" s="9" t="s">
        <v>23</v>
      </c>
      <c r="F8" s="4"/>
      <c r="G8" s="4" t="s">
        <v>101</v>
      </c>
      <c r="H8" s="4" t="n">
        <v>0</v>
      </c>
      <c r="I8" s="5" t="s">
        <v>116</v>
      </c>
      <c r="J8" s="5"/>
      <c r="K8" s="5"/>
      <c r="L8" s="16" t="n">
        <v>0.85</v>
      </c>
    </row>
    <row r="9" customFormat="false" ht="15" hidden="false" customHeight="false" outlineLevel="0" collapsed="false">
      <c r="A9" s="4" t="s">
        <v>121</v>
      </c>
      <c r="B9" s="5" t="s">
        <v>122</v>
      </c>
      <c r="C9" s="4" t="s">
        <v>32</v>
      </c>
      <c r="D9" s="4" t="n">
        <v>1051</v>
      </c>
      <c r="E9" s="9" t="s">
        <v>23</v>
      </c>
      <c r="F9" s="4"/>
      <c r="G9" s="4" t="s">
        <v>101</v>
      </c>
      <c r="H9" s="4" t="n">
        <v>1</v>
      </c>
      <c r="I9" s="5" t="s">
        <v>123</v>
      </c>
      <c r="J9" s="5"/>
      <c r="K9" s="5"/>
      <c r="L9" s="16" t="n">
        <v>0.83</v>
      </c>
    </row>
    <row r="10" customFormat="false" ht="15" hidden="false" customHeight="false" outlineLevel="0" collapsed="false">
      <c r="A10" s="4" t="s">
        <v>124</v>
      </c>
      <c r="B10" s="5" t="s">
        <v>125</v>
      </c>
      <c r="C10" s="4" t="s">
        <v>32</v>
      </c>
      <c r="D10" s="4" t="n">
        <v>163</v>
      </c>
      <c r="E10" s="9" t="s">
        <v>23</v>
      </c>
      <c r="F10" s="4"/>
      <c r="G10" s="4" t="s">
        <v>97</v>
      </c>
      <c r="H10" s="4" t="n">
        <v>0</v>
      </c>
      <c r="I10" s="5" t="s">
        <v>126</v>
      </c>
      <c r="J10" s="5"/>
      <c r="K10" s="5"/>
      <c r="L10" s="16" t="n">
        <v>1</v>
      </c>
    </row>
    <row r="11" customFormat="false" ht="15" hidden="false" customHeight="false" outlineLevel="0" collapsed="false">
      <c r="A11" s="4" t="s">
        <v>127</v>
      </c>
      <c r="B11" s="5" t="s">
        <v>128</v>
      </c>
      <c r="C11" s="4" t="s">
        <v>32</v>
      </c>
      <c r="D11" s="4" t="n">
        <v>2127</v>
      </c>
      <c r="E11" s="9" t="s">
        <v>23</v>
      </c>
      <c r="F11" s="4"/>
      <c r="G11" s="4" t="s">
        <v>101</v>
      </c>
      <c r="H11" s="4" t="n">
        <v>2</v>
      </c>
      <c r="I11" s="5" t="s">
        <v>129</v>
      </c>
      <c r="J11" s="5"/>
      <c r="K11" s="5"/>
      <c r="L11" s="16" t="n">
        <v>0.78</v>
      </c>
    </row>
    <row r="12" customFormat="false" ht="124.6" hidden="false" customHeight="false" outlineLevel="0" collapsed="false">
      <c r="A12" s="4" t="s">
        <v>130</v>
      </c>
      <c r="B12" s="5" t="s">
        <v>131</v>
      </c>
      <c r="C12" s="4" t="s">
        <v>32</v>
      </c>
      <c r="D12" s="4" t="n">
        <v>1749</v>
      </c>
      <c r="E12" s="11" t="s">
        <v>24</v>
      </c>
      <c r="F12" s="9" t="s">
        <v>114</v>
      </c>
      <c r="G12" s="4" t="s">
        <v>101</v>
      </c>
      <c r="H12" s="4" t="n">
        <v>7</v>
      </c>
      <c r="I12" s="5" t="s">
        <v>132</v>
      </c>
      <c r="J12" s="5" t="s">
        <v>133</v>
      </c>
      <c r="K12" s="5" t="s">
        <v>134</v>
      </c>
      <c r="L12" s="16" t="n">
        <v>0.5</v>
      </c>
    </row>
    <row r="13" customFormat="false" ht="15" hidden="false" customHeight="false" outlineLevel="0" collapsed="false">
      <c r="A13" s="4" t="s">
        <v>135</v>
      </c>
      <c r="B13" s="5" t="s">
        <v>136</v>
      </c>
      <c r="C13" s="4" t="s">
        <v>32</v>
      </c>
      <c r="D13" s="4" t="n">
        <v>615</v>
      </c>
      <c r="E13" s="9" t="s">
        <v>23</v>
      </c>
      <c r="F13" s="4"/>
      <c r="G13" s="4" t="s">
        <v>97</v>
      </c>
      <c r="H13" s="4" t="n">
        <v>0</v>
      </c>
      <c r="I13" s="5" t="s">
        <v>137</v>
      </c>
      <c r="J13" s="5"/>
      <c r="K13" s="5"/>
      <c r="L13" s="16" t="n">
        <v>0.88</v>
      </c>
    </row>
    <row r="14" customFormat="false" ht="23.85" hidden="false" customHeight="false" outlineLevel="0" collapsed="false">
      <c r="A14" s="4" t="s">
        <v>138</v>
      </c>
      <c r="B14" s="5" t="s">
        <v>139</v>
      </c>
      <c r="C14" s="4" t="s">
        <v>32</v>
      </c>
      <c r="D14" s="4" t="n">
        <v>3395</v>
      </c>
      <c r="E14" s="9" t="s">
        <v>23</v>
      </c>
      <c r="F14" s="4"/>
      <c r="G14" s="4" t="s">
        <v>101</v>
      </c>
      <c r="H14" s="4" t="n">
        <v>2</v>
      </c>
      <c r="I14" s="5" t="s">
        <v>140</v>
      </c>
      <c r="J14" s="5"/>
      <c r="K14" s="5"/>
      <c r="L14" s="16" t="n">
        <v>0.63</v>
      </c>
    </row>
    <row r="15" customFormat="false" ht="35.05" hidden="false" customHeight="false" outlineLevel="0" collapsed="false">
      <c r="A15" s="4" t="s">
        <v>141</v>
      </c>
      <c r="B15" s="5" t="s">
        <v>142</v>
      </c>
      <c r="C15" s="4" t="s">
        <v>32</v>
      </c>
      <c r="D15" s="4" t="n">
        <v>3678</v>
      </c>
      <c r="E15" s="9" t="s">
        <v>23</v>
      </c>
      <c r="F15" s="4"/>
      <c r="G15" s="4" t="s">
        <v>101</v>
      </c>
      <c r="H15" s="4" t="n">
        <v>5</v>
      </c>
      <c r="I15" s="5" t="s">
        <v>143</v>
      </c>
      <c r="J15" s="5"/>
      <c r="K15" s="5"/>
      <c r="L15" s="16" t="n">
        <v>0.47</v>
      </c>
    </row>
    <row r="16" customFormat="false" ht="15" hidden="false" customHeight="false" outlineLevel="0" collapsed="false">
      <c r="A16" s="4" t="s">
        <v>144</v>
      </c>
      <c r="B16" s="5" t="s">
        <v>145</v>
      </c>
      <c r="C16" s="4" t="s">
        <v>32</v>
      </c>
      <c r="D16" s="4" t="n">
        <v>133</v>
      </c>
      <c r="E16" s="9" t="s">
        <v>23</v>
      </c>
      <c r="F16" s="4"/>
      <c r="G16" s="4" t="s">
        <v>97</v>
      </c>
      <c r="H16" s="4" t="n">
        <v>1</v>
      </c>
      <c r="I16" s="5" t="s">
        <v>146</v>
      </c>
      <c r="J16" s="5"/>
      <c r="K16" s="5"/>
      <c r="L16" s="16" t="n">
        <v>0.75</v>
      </c>
    </row>
    <row r="17" customFormat="false" ht="113.4" hidden="false" customHeight="false" outlineLevel="0" collapsed="false">
      <c r="A17" s="4" t="s">
        <v>147</v>
      </c>
      <c r="B17" s="5" t="s">
        <v>148</v>
      </c>
      <c r="C17" s="4" t="s">
        <v>32</v>
      </c>
      <c r="D17" s="4" t="n">
        <v>2137</v>
      </c>
      <c r="E17" s="11" t="s">
        <v>24</v>
      </c>
      <c r="F17" s="9" t="s">
        <v>114</v>
      </c>
      <c r="G17" s="4" t="s">
        <v>101</v>
      </c>
      <c r="H17" s="4" t="n">
        <v>1</v>
      </c>
      <c r="I17" s="5" t="s">
        <v>149</v>
      </c>
      <c r="J17" s="5" t="s">
        <v>150</v>
      </c>
      <c r="K17" s="5" t="s">
        <v>151</v>
      </c>
      <c r="L17" s="16" t="n">
        <v>0.57</v>
      </c>
    </row>
    <row r="18" customFormat="false" ht="113.4" hidden="false" customHeight="false" outlineLevel="0" collapsed="false">
      <c r="A18" s="4" t="s">
        <v>152</v>
      </c>
      <c r="B18" s="5" t="s">
        <v>153</v>
      </c>
      <c r="C18" s="4" t="s">
        <v>32</v>
      </c>
      <c r="D18" s="4" t="n">
        <v>876</v>
      </c>
      <c r="E18" s="11" t="s">
        <v>24</v>
      </c>
      <c r="F18" s="9" t="s">
        <v>114</v>
      </c>
      <c r="G18" s="4" t="s">
        <v>101</v>
      </c>
      <c r="H18" s="4" t="n">
        <v>2</v>
      </c>
      <c r="I18" s="5" t="s">
        <v>154</v>
      </c>
      <c r="J18" s="5" t="s">
        <v>155</v>
      </c>
      <c r="K18" s="5" t="s">
        <v>156</v>
      </c>
      <c r="L18" s="16" t="n">
        <v>0.56</v>
      </c>
    </row>
    <row r="19" customFormat="false" ht="169.4" hidden="false" customHeight="false" outlineLevel="0" collapsed="false">
      <c r="A19" s="4" t="s">
        <v>157</v>
      </c>
      <c r="B19" s="5" t="s">
        <v>158</v>
      </c>
      <c r="C19" s="4" t="s">
        <v>32</v>
      </c>
      <c r="D19" s="4" t="n">
        <v>2888</v>
      </c>
      <c r="E19" s="11" t="s">
        <v>24</v>
      </c>
      <c r="F19" s="9" t="s">
        <v>114</v>
      </c>
      <c r="G19" s="4" t="s">
        <v>101</v>
      </c>
      <c r="H19" s="4" t="n">
        <v>3</v>
      </c>
      <c r="I19" s="5" t="s">
        <v>159</v>
      </c>
      <c r="J19" s="5" t="s">
        <v>160</v>
      </c>
      <c r="K19" s="5" t="s">
        <v>161</v>
      </c>
      <c r="L19" s="16" t="n">
        <v>0.69</v>
      </c>
    </row>
    <row r="20" customFormat="false" ht="15" hidden="false" customHeight="false" outlineLevel="0" collapsed="false">
      <c r="A20" s="4" t="s">
        <v>162</v>
      </c>
      <c r="B20" s="5" t="s">
        <v>163</v>
      </c>
      <c r="C20" s="4" t="s">
        <v>32</v>
      </c>
      <c r="D20" s="4" t="n">
        <v>467</v>
      </c>
      <c r="E20" s="9" t="s">
        <v>23</v>
      </c>
      <c r="F20" s="4"/>
      <c r="G20" s="4" t="s">
        <v>115</v>
      </c>
      <c r="H20" s="4" t="n">
        <v>0</v>
      </c>
      <c r="I20" s="5" t="s">
        <v>164</v>
      </c>
      <c r="J20" s="5"/>
      <c r="K20" s="5"/>
      <c r="L20" s="16" t="n">
        <v>0.86</v>
      </c>
    </row>
    <row r="21" customFormat="false" ht="23.85" hidden="false" customHeight="false" outlineLevel="0" collapsed="false">
      <c r="A21" s="4" t="s">
        <v>165</v>
      </c>
      <c r="B21" s="5" t="s">
        <v>166</v>
      </c>
      <c r="C21" s="4" t="s">
        <v>32</v>
      </c>
      <c r="D21" s="4" t="n">
        <v>656</v>
      </c>
      <c r="E21" s="9" t="s">
        <v>23</v>
      </c>
      <c r="F21" s="4"/>
      <c r="G21" s="4" t="s">
        <v>101</v>
      </c>
      <c r="H21" s="4" t="n">
        <v>4</v>
      </c>
      <c r="I21" s="5" t="s">
        <v>167</v>
      </c>
      <c r="J21" s="5"/>
      <c r="K21" s="5"/>
      <c r="L21" s="16" t="n">
        <v>0.79</v>
      </c>
    </row>
    <row r="22" customFormat="false" ht="46.25" hidden="false" customHeight="false" outlineLevel="0" collapsed="false">
      <c r="A22" s="4" t="s">
        <v>168</v>
      </c>
      <c r="B22" s="5" t="s">
        <v>96</v>
      </c>
      <c r="C22" s="4" t="s">
        <v>37</v>
      </c>
      <c r="D22" s="4" t="n">
        <v>335</v>
      </c>
      <c r="E22" s="15" t="s">
        <v>169</v>
      </c>
      <c r="F22" s="4"/>
      <c r="G22" s="4" t="s">
        <v>115</v>
      </c>
      <c r="H22" s="4" t="n">
        <v>0</v>
      </c>
      <c r="I22" s="5" t="s">
        <v>170</v>
      </c>
      <c r="J22" s="5" t="s">
        <v>171</v>
      </c>
      <c r="K22" s="5"/>
      <c r="L22" s="16" t="n">
        <v>1</v>
      </c>
    </row>
    <row r="23" customFormat="false" ht="15" hidden="false" customHeight="false" outlineLevel="0" collapsed="false">
      <c r="A23" s="4" t="s">
        <v>172</v>
      </c>
      <c r="B23" s="5" t="s">
        <v>173</v>
      </c>
      <c r="C23" s="4" t="s">
        <v>37</v>
      </c>
      <c r="D23" s="4" t="n">
        <v>78</v>
      </c>
      <c r="E23" s="9" t="s">
        <v>23</v>
      </c>
      <c r="F23" s="4"/>
      <c r="G23" s="4" t="s">
        <v>97</v>
      </c>
      <c r="H23" s="4" t="n">
        <v>1</v>
      </c>
      <c r="I23" s="5" t="s">
        <v>174</v>
      </c>
      <c r="J23" s="5"/>
      <c r="K23" s="5"/>
      <c r="L23" s="16" t="n">
        <v>1</v>
      </c>
    </row>
    <row r="24" customFormat="false" ht="23.85" hidden="false" customHeight="false" outlineLevel="0" collapsed="false">
      <c r="A24" s="4" t="s">
        <v>175</v>
      </c>
      <c r="B24" s="5" t="s">
        <v>176</v>
      </c>
      <c r="C24" s="4" t="s">
        <v>37</v>
      </c>
      <c r="D24" s="4" t="n">
        <v>2337</v>
      </c>
      <c r="E24" s="9" t="s">
        <v>23</v>
      </c>
      <c r="F24" s="4"/>
      <c r="G24" s="4" t="s">
        <v>101</v>
      </c>
      <c r="H24" s="4" t="n">
        <v>2</v>
      </c>
      <c r="I24" s="5" t="s">
        <v>177</v>
      </c>
      <c r="J24" s="5"/>
      <c r="K24" s="5"/>
      <c r="L24" s="16" t="n">
        <v>0.86</v>
      </c>
    </row>
    <row r="25" customFormat="false" ht="15" hidden="false" customHeight="false" outlineLevel="0" collapsed="false">
      <c r="A25" s="4" t="s">
        <v>178</v>
      </c>
      <c r="B25" s="5" t="s">
        <v>179</v>
      </c>
      <c r="C25" s="4" t="s">
        <v>37</v>
      </c>
      <c r="D25" s="4" t="n">
        <v>132</v>
      </c>
      <c r="E25" s="9" t="s">
        <v>23</v>
      </c>
      <c r="F25" s="4"/>
      <c r="G25" s="4" t="s">
        <v>97</v>
      </c>
      <c r="H25" s="4" t="n">
        <v>0</v>
      </c>
      <c r="I25" s="5" t="s">
        <v>180</v>
      </c>
      <c r="J25" s="5"/>
      <c r="K25" s="5"/>
      <c r="L25" s="16" t="n">
        <v>0.6</v>
      </c>
    </row>
    <row r="26" customFormat="false" ht="15" hidden="false" customHeight="false" outlineLevel="0" collapsed="false">
      <c r="A26" s="4" t="s">
        <v>181</v>
      </c>
      <c r="B26" s="5" t="s">
        <v>182</v>
      </c>
      <c r="C26" s="4" t="s">
        <v>37</v>
      </c>
      <c r="D26" s="4" t="n">
        <v>867</v>
      </c>
      <c r="E26" s="9" t="s">
        <v>23</v>
      </c>
      <c r="F26" s="4"/>
      <c r="G26" s="4" t="s">
        <v>97</v>
      </c>
      <c r="H26" s="4" t="n">
        <v>1</v>
      </c>
      <c r="I26" s="5" t="s">
        <v>183</v>
      </c>
      <c r="J26" s="5"/>
      <c r="K26" s="5"/>
      <c r="L26" s="16" t="n">
        <v>1</v>
      </c>
    </row>
    <row r="27" customFormat="false" ht="23.85" hidden="false" customHeight="false" outlineLevel="0" collapsed="false">
      <c r="A27" s="4" t="s">
        <v>184</v>
      </c>
      <c r="B27" s="5" t="s">
        <v>185</v>
      </c>
      <c r="C27" s="4" t="s">
        <v>37</v>
      </c>
      <c r="D27" s="4" t="n">
        <v>677</v>
      </c>
      <c r="E27" s="9" t="s">
        <v>23</v>
      </c>
      <c r="F27" s="4"/>
      <c r="G27" s="4" t="s">
        <v>101</v>
      </c>
      <c r="H27" s="4" t="n">
        <v>2</v>
      </c>
      <c r="I27" s="5" t="s">
        <v>186</v>
      </c>
      <c r="J27" s="5"/>
      <c r="K27" s="5"/>
      <c r="L27" s="16" t="n">
        <v>0.75</v>
      </c>
    </row>
    <row r="28" customFormat="false" ht="23.85" hidden="false" customHeight="false" outlineLevel="0" collapsed="false">
      <c r="A28" s="4" t="s">
        <v>187</v>
      </c>
      <c r="B28" s="5" t="s">
        <v>188</v>
      </c>
      <c r="C28" s="4" t="s">
        <v>37</v>
      </c>
      <c r="D28" s="4" t="n">
        <v>3868</v>
      </c>
      <c r="E28" s="9" t="s">
        <v>23</v>
      </c>
      <c r="F28" s="4"/>
      <c r="G28" s="4" t="s">
        <v>101</v>
      </c>
      <c r="H28" s="4" t="n">
        <v>5</v>
      </c>
      <c r="I28" s="5" t="s">
        <v>189</v>
      </c>
      <c r="J28" s="5"/>
      <c r="K28" s="5"/>
      <c r="L28" s="16" t="n">
        <v>0.8</v>
      </c>
    </row>
    <row r="29" customFormat="false" ht="124.6" hidden="false" customHeight="false" outlineLevel="0" collapsed="false">
      <c r="A29" s="4" t="s">
        <v>190</v>
      </c>
      <c r="B29" s="5" t="s">
        <v>191</v>
      </c>
      <c r="C29" s="4" t="s">
        <v>37</v>
      </c>
      <c r="D29" s="4" t="n">
        <v>2236</v>
      </c>
      <c r="E29" s="11" t="s">
        <v>24</v>
      </c>
      <c r="F29" s="9" t="s">
        <v>114</v>
      </c>
      <c r="G29" s="4" t="s">
        <v>101</v>
      </c>
      <c r="H29" s="4" t="n">
        <v>1</v>
      </c>
      <c r="I29" s="5" t="s">
        <v>192</v>
      </c>
      <c r="J29" s="5" t="s">
        <v>193</v>
      </c>
      <c r="K29" s="5" t="s">
        <v>194</v>
      </c>
      <c r="L29" s="16" t="n">
        <v>0.64</v>
      </c>
    </row>
    <row r="30" customFormat="false" ht="35.05" hidden="false" customHeight="false" outlineLevel="0" collapsed="false">
      <c r="A30" s="4" t="s">
        <v>195</v>
      </c>
      <c r="B30" s="5" t="s">
        <v>196</v>
      </c>
      <c r="C30" s="4" t="s">
        <v>37</v>
      </c>
      <c r="D30" s="4" t="n">
        <v>701</v>
      </c>
      <c r="E30" s="9" t="s">
        <v>23</v>
      </c>
      <c r="F30" s="4"/>
      <c r="G30" s="4" t="s">
        <v>101</v>
      </c>
      <c r="H30" s="4" t="n">
        <v>3</v>
      </c>
      <c r="I30" s="5" t="s">
        <v>197</v>
      </c>
      <c r="J30" s="5"/>
      <c r="K30" s="5"/>
      <c r="L30" s="16" t="n">
        <v>0.42</v>
      </c>
    </row>
    <row r="31" customFormat="false" ht="15" hidden="false" customHeight="false" outlineLevel="0" collapsed="false">
      <c r="A31" s="4" t="s">
        <v>198</v>
      </c>
      <c r="B31" s="5" t="s">
        <v>199</v>
      </c>
      <c r="C31" s="4" t="s">
        <v>37</v>
      </c>
      <c r="D31" s="4" t="n">
        <v>88</v>
      </c>
      <c r="E31" s="9" t="s">
        <v>23</v>
      </c>
      <c r="F31" s="4"/>
      <c r="G31" s="4" t="s">
        <v>97</v>
      </c>
      <c r="H31" s="4" t="n">
        <v>0</v>
      </c>
      <c r="I31" s="5" t="s">
        <v>200</v>
      </c>
      <c r="J31" s="5"/>
      <c r="K31" s="5"/>
      <c r="L31" s="16" t="n">
        <v>1</v>
      </c>
    </row>
    <row r="32" customFormat="false" ht="15" hidden="false" customHeight="false" outlineLevel="0" collapsed="false">
      <c r="A32" s="4" t="s">
        <v>201</v>
      </c>
      <c r="B32" s="5" t="s">
        <v>202</v>
      </c>
      <c r="C32" s="4" t="s">
        <v>37</v>
      </c>
      <c r="D32" s="4" t="n">
        <v>132</v>
      </c>
      <c r="E32" s="9" t="s">
        <v>23</v>
      </c>
      <c r="F32" s="4"/>
      <c r="G32" s="4" t="s">
        <v>97</v>
      </c>
      <c r="H32" s="4" t="n">
        <v>0</v>
      </c>
      <c r="I32" s="5" t="s">
        <v>203</v>
      </c>
      <c r="J32" s="5"/>
      <c r="K32" s="5"/>
      <c r="L32" s="16" t="n">
        <v>0</v>
      </c>
    </row>
    <row r="33" customFormat="false" ht="15" hidden="false" customHeight="false" outlineLevel="0" collapsed="false">
      <c r="A33" s="4" t="s">
        <v>204</v>
      </c>
      <c r="B33" s="5" t="s">
        <v>205</v>
      </c>
      <c r="C33" s="4" t="s">
        <v>37</v>
      </c>
      <c r="D33" s="4" t="n">
        <v>157</v>
      </c>
      <c r="E33" s="9" t="s">
        <v>23</v>
      </c>
      <c r="F33" s="4"/>
      <c r="G33" s="4" t="s">
        <v>97</v>
      </c>
      <c r="H33" s="4" t="n">
        <v>1</v>
      </c>
      <c r="I33" s="5" t="s">
        <v>206</v>
      </c>
      <c r="J33" s="5"/>
      <c r="K33" s="5"/>
      <c r="L33" s="16" t="n">
        <v>0.8</v>
      </c>
    </row>
    <row r="34" customFormat="false" ht="15" hidden="false" customHeight="false" outlineLevel="0" collapsed="false">
      <c r="A34" s="4" t="s">
        <v>207</v>
      </c>
      <c r="B34" s="5" t="s">
        <v>208</v>
      </c>
      <c r="C34" s="4" t="s">
        <v>37</v>
      </c>
      <c r="D34" s="4" t="n">
        <v>714</v>
      </c>
      <c r="E34" s="9" t="s">
        <v>23</v>
      </c>
      <c r="F34" s="4"/>
      <c r="G34" s="4" t="s">
        <v>101</v>
      </c>
      <c r="H34" s="4" t="n">
        <v>1</v>
      </c>
      <c r="I34" s="5" t="s">
        <v>209</v>
      </c>
      <c r="J34" s="5"/>
      <c r="K34" s="5"/>
      <c r="L34" s="16" t="n">
        <v>0.86</v>
      </c>
    </row>
    <row r="35" customFormat="false" ht="15" hidden="false" customHeight="false" outlineLevel="0" collapsed="false">
      <c r="A35" s="4" t="s">
        <v>210</v>
      </c>
      <c r="B35" s="5" t="s">
        <v>211</v>
      </c>
      <c r="C35" s="4" t="s">
        <v>37</v>
      </c>
      <c r="D35" s="4" t="n">
        <v>51</v>
      </c>
      <c r="E35" s="9" t="s">
        <v>23</v>
      </c>
      <c r="F35" s="4"/>
      <c r="G35" s="4" t="s">
        <v>115</v>
      </c>
      <c r="H35" s="4" t="n">
        <v>0</v>
      </c>
      <c r="I35" s="5" t="s">
        <v>212</v>
      </c>
      <c r="J35" s="5"/>
      <c r="K35" s="5"/>
      <c r="L35" s="16" t="n">
        <v>0</v>
      </c>
    </row>
    <row r="36" customFormat="false" ht="15" hidden="false" customHeight="false" outlineLevel="0" collapsed="false">
      <c r="A36" s="4" t="s">
        <v>213</v>
      </c>
      <c r="B36" s="5" t="s">
        <v>214</v>
      </c>
      <c r="C36" s="4" t="s">
        <v>37</v>
      </c>
      <c r="D36" s="4" t="n">
        <v>412</v>
      </c>
      <c r="E36" s="9" t="s">
        <v>23</v>
      </c>
      <c r="F36" s="4"/>
      <c r="G36" s="4" t="s">
        <v>101</v>
      </c>
      <c r="H36" s="4" t="n">
        <v>1</v>
      </c>
      <c r="I36" s="5" t="s">
        <v>215</v>
      </c>
      <c r="J36" s="5"/>
      <c r="K36" s="5"/>
      <c r="L36" s="16" t="n">
        <v>0.5</v>
      </c>
    </row>
    <row r="37" customFormat="false" ht="23.85" hidden="false" customHeight="false" outlineLevel="0" collapsed="false">
      <c r="A37" s="4" t="s">
        <v>216</v>
      </c>
      <c r="B37" s="5" t="s">
        <v>217</v>
      </c>
      <c r="C37" s="4" t="s">
        <v>37</v>
      </c>
      <c r="D37" s="4" t="n">
        <v>426</v>
      </c>
      <c r="E37" s="9" t="s">
        <v>23</v>
      </c>
      <c r="F37" s="4"/>
      <c r="G37" s="4" t="s">
        <v>97</v>
      </c>
      <c r="H37" s="4" t="n">
        <v>1</v>
      </c>
      <c r="I37" s="5" t="s">
        <v>218</v>
      </c>
      <c r="J37" s="5"/>
      <c r="K37" s="5"/>
      <c r="L37" s="16" t="n">
        <v>0.67</v>
      </c>
    </row>
    <row r="38" customFormat="false" ht="15" hidden="false" customHeight="false" outlineLevel="0" collapsed="false">
      <c r="A38" s="4" t="s">
        <v>219</v>
      </c>
      <c r="B38" s="5" t="s">
        <v>220</v>
      </c>
      <c r="C38" s="4" t="s">
        <v>37</v>
      </c>
      <c r="D38" s="4" t="n">
        <v>92</v>
      </c>
      <c r="E38" s="9" t="s">
        <v>23</v>
      </c>
      <c r="F38" s="4"/>
      <c r="G38" s="4" t="s">
        <v>101</v>
      </c>
      <c r="H38" s="4" t="n">
        <v>1</v>
      </c>
      <c r="I38" s="5" t="s">
        <v>221</v>
      </c>
      <c r="J38" s="5"/>
      <c r="K38" s="5"/>
      <c r="L38" s="16" t="n">
        <v>0.86</v>
      </c>
    </row>
    <row r="39" customFormat="false" ht="23.85" hidden="false" customHeight="false" outlineLevel="0" collapsed="false">
      <c r="A39" s="4" t="s">
        <v>222</v>
      </c>
      <c r="B39" s="5" t="s">
        <v>223</v>
      </c>
      <c r="C39" s="4" t="s">
        <v>37</v>
      </c>
      <c r="D39" s="4" t="n">
        <v>362</v>
      </c>
      <c r="E39" s="9" t="s">
        <v>23</v>
      </c>
      <c r="F39" s="4"/>
      <c r="G39" s="4" t="s">
        <v>101</v>
      </c>
      <c r="H39" s="4" t="n">
        <v>2</v>
      </c>
      <c r="I39" s="5" t="s">
        <v>224</v>
      </c>
      <c r="J39" s="5"/>
      <c r="K39" s="5"/>
      <c r="L39" s="16" t="n">
        <v>0.45</v>
      </c>
    </row>
    <row r="40" customFormat="false" ht="15" hidden="false" customHeight="false" outlineLevel="0" collapsed="false">
      <c r="A40" s="4" t="s">
        <v>225</v>
      </c>
      <c r="B40" s="5" t="s">
        <v>226</v>
      </c>
      <c r="C40" s="4" t="s">
        <v>37</v>
      </c>
      <c r="D40" s="4" t="n">
        <v>130</v>
      </c>
      <c r="E40" s="9" t="s">
        <v>23</v>
      </c>
      <c r="F40" s="4"/>
      <c r="G40" s="4" t="s">
        <v>97</v>
      </c>
      <c r="H40" s="4" t="n">
        <v>0</v>
      </c>
      <c r="I40" s="5" t="s">
        <v>227</v>
      </c>
      <c r="J40" s="5"/>
      <c r="K40" s="5"/>
      <c r="L40" s="16" t="n">
        <v>1</v>
      </c>
    </row>
    <row r="41" customFormat="false" ht="35.05" hidden="false" customHeight="false" outlineLevel="0" collapsed="false">
      <c r="A41" s="4" t="s">
        <v>228</v>
      </c>
      <c r="B41" s="5" t="s">
        <v>229</v>
      </c>
      <c r="C41" s="4" t="s">
        <v>37</v>
      </c>
      <c r="D41" s="4" t="n">
        <v>559</v>
      </c>
      <c r="E41" s="9" t="s">
        <v>23</v>
      </c>
      <c r="F41" s="4"/>
      <c r="G41" s="4" t="s">
        <v>101</v>
      </c>
      <c r="H41" s="4" t="n">
        <v>2</v>
      </c>
      <c r="I41" s="5" t="s">
        <v>230</v>
      </c>
      <c r="J41" s="5"/>
      <c r="K41" s="5"/>
      <c r="L41" s="16" t="n">
        <v>0.35</v>
      </c>
    </row>
    <row r="42" customFormat="false" ht="23.85" hidden="false" customHeight="false" outlineLevel="0" collapsed="false">
      <c r="A42" s="4" t="s">
        <v>231</v>
      </c>
      <c r="B42" s="5" t="s">
        <v>232</v>
      </c>
      <c r="C42" s="4" t="s">
        <v>37</v>
      </c>
      <c r="D42" s="4" t="n">
        <v>998</v>
      </c>
      <c r="E42" s="9" t="s">
        <v>23</v>
      </c>
      <c r="F42" s="4"/>
      <c r="G42" s="4" t="s">
        <v>101</v>
      </c>
      <c r="H42" s="4" t="n">
        <v>1</v>
      </c>
      <c r="I42" s="5" t="s">
        <v>233</v>
      </c>
      <c r="J42" s="5"/>
      <c r="K42" s="5"/>
      <c r="L42" s="16" t="n">
        <v>0.71</v>
      </c>
    </row>
    <row r="43" customFormat="false" ht="35.05" hidden="false" customHeight="false" outlineLevel="0" collapsed="false">
      <c r="A43" s="4" t="s">
        <v>234</v>
      </c>
      <c r="B43" s="5" t="s">
        <v>235</v>
      </c>
      <c r="C43" s="4" t="s">
        <v>37</v>
      </c>
      <c r="D43" s="4" t="n">
        <v>1620</v>
      </c>
      <c r="E43" s="9" t="s">
        <v>23</v>
      </c>
      <c r="F43" s="4"/>
      <c r="G43" s="4" t="s">
        <v>101</v>
      </c>
      <c r="H43" s="4" t="n">
        <v>2</v>
      </c>
      <c r="I43" s="5" t="s">
        <v>236</v>
      </c>
      <c r="J43" s="5"/>
      <c r="K43" s="5"/>
      <c r="L43" s="16" t="n">
        <v>0.31</v>
      </c>
    </row>
    <row r="44" customFormat="false" ht="46.25" hidden="false" customHeight="false" outlineLevel="0" collapsed="false">
      <c r="A44" s="4" t="s">
        <v>237</v>
      </c>
      <c r="B44" s="5" t="s">
        <v>163</v>
      </c>
      <c r="C44" s="4" t="s">
        <v>37</v>
      </c>
      <c r="D44" s="4" t="n">
        <v>501</v>
      </c>
      <c r="E44" s="15" t="s">
        <v>169</v>
      </c>
      <c r="F44" s="4"/>
      <c r="G44" s="4" t="s">
        <v>115</v>
      </c>
      <c r="H44" s="4" t="n">
        <v>0</v>
      </c>
      <c r="I44" s="5" t="s">
        <v>164</v>
      </c>
      <c r="J44" s="5" t="s">
        <v>238</v>
      </c>
      <c r="K44" s="5"/>
      <c r="L44" s="16" t="n">
        <v>1</v>
      </c>
    </row>
    <row r="45" customFormat="false" ht="91" hidden="false" customHeight="false" outlineLevel="0" collapsed="false">
      <c r="A45" s="4" t="s">
        <v>239</v>
      </c>
      <c r="B45" s="5" t="s">
        <v>166</v>
      </c>
      <c r="C45" s="4" t="s">
        <v>37</v>
      </c>
      <c r="D45" s="4" t="n">
        <v>625</v>
      </c>
      <c r="E45" s="11" t="s">
        <v>24</v>
      </c>
      <c r="F45" s="9" t="s">
        <v>114</v>
      </c>
      <c r="G45" s="4" t="s">
        <v>101</v>
      </c>
      <c r="H45" s="4" t="n">
        <v>4</v>
      </c>
      <c r="I45" s="5" t="s">
        <v>240</v>
      </c>
      <c r="J45" s="5" t="s">
        <v>241</v>
      </c>
      <c r="K45" s="5" t="s">
        <v>242</v>
      </c>
      <c r="L45" s="16" t="n">
        <v>0.12</v>
      </c>
    </row>
    <row r="46" customFormat="false" ht="15" hidden="false" customHeight="false" outlineLevel="0" collapsed="false">
      <c r="A46" s="4" t="s">
        <v>243</v>
      </c>
      <c r="B46" s="5" t="s">
        <v>96</v>
      </c>
      <c r="C46" s="4" t="s">
        <v>42</v>
      </c>
      <c r="D46" s="4" t="n">
        <v>580</v>
      </c>
      <c r="E46" s="9" t="s">
        <v>23</v>
      </c>
      <c r="F46" s="4"/>
      <c r="G46" s="4" t="s">
        <v>101</v>
      </c>
      <c r="H46" s="4" t="n">
        <v>2</v>
      </c>
      <c r="I46" s="5" t="s">
        <v>244</v>
      </c>
      <c r="J46" s="5"/>
      <c r="K46" s="5"/>
      <c r="L46" s="16" t="n">
        <v>0.94</v>
      </c>
    </row>
    <row r="47" customFormat="false" ht="57.45" hidden="false" customHeight="false" outlineLevel="0" collapsed="false">
      <c r="A47" s="4" t="s">
        <v>245</v>
      </c>
      <c r="B47" s="5" t="s">
        <v>246</v>
      </c>
      <c r="C47" s="4" t="s">
        <v>42</v>
      </c>
      <c r="D47" s="4" t="n">
        <v>339</v>
      </c>
      <c r="E47" s="11" t="s">
        <v>24</v>
      </c>
      <c r="F47" s="9" t="s">
        <v>114</v>
      </c>
      <c r="G47" s="4" t="s">
        <v>101</v>
      </c>
      <c r="H47" s="4" t="n">
        <v>1</v>
      </c>
      <c r="I47" s="5" t="s">
        <v>247</v>
      </c>
      <c r="J47" s="5" t="s">
        <v>248</v>
      </c>
      <c r="K47" s="5" t="s">
        <v>249</v>
      </c>
      <c r="L47" s="16" t="n">
        <v>1</v>
      </c>
    </row>
    <row r="48" customFormat="false" ht="15" hidden="false" customHeight="false" outlineLevel="0" collapsed="false">
      <c r="A48" s="4" t="s">
        <v>250</v>
      </c>
      <c r="B48" s="5" t="s">
        <v>251</v>
      </c>
      <c r="C48" s="4" t="s">
        <v>42</v>
      </c>
      <c r="D48" s="4" t="n">
        <v>190</v>
      </c>
      <c r="E48" s="9" t="s">
        <v>23</v>
      </c>
      <c r="F48" s="4"/>
      <c r="G48" s="4" t="s">
        <v>101</v>
      </c>
      <c r="H48" s="4" t="n">
        <v>1</v>
      </c>
      <c r="I48" s="5" t="s">
        <v>252</v>
      </c>
      <c r="J48" s="5"/>
      <c r="K48" s="5"/>
      <c r="L48" s="16" t="n">
        <v>0.75</v>
      </c>
    </row>
    <row r="49" customFormat="false" ht="15" hidden="false" customHeight="false" outlineLevel="0" collapsed="false">
      <c r="A49" s="4" t="s">
        <v>253</v>
      </c>
      <c r="B49" s="5" t="s">
        <v>254</v>
      </c>
      <c r="C49" s="4" t="s">
        <v>42</v>
      </c>
      <c r="D49" s="4" t="n">
        <v>68</v>
      </c>
      <c r="E49" s="9" t="s">
        <v>23</v>
      </c>
      <c r="F49" s="4"/>
      <c r="G49" s="4" t="s">
        <v>115</v>
      </c>
      <c r="H49" s="4" t="n">
        <v>1</v>
      </c>
      <c r="I49" s="5" t="s">
        <v>252</v>
      </c>
      <c r="J49" s="5"/>
      <c r="K49" s="5"/>
      <c r="L49" s="16" t="n">
        <v>0.75</v>
      </c>
    </row>
    <row r="50" customFormat="false" ht="15" hidden="false" customHeight="false" outlineLevel="0" collapsed="false">
      <c r="A50" s="4" t="s">
        <v>255</v>
      </c>
      <c r="B50" s="5" t="s">
        <v>256</v>
      </c>
      <c r="C50" s="4" t="s">
        <v>42</v>
      </c>
      <c r="D50" s="4" t="n">
        <v>155</v>
      </c>
      <c r="E50" s="9" t="s">
        <v>23</v>
      </c>
      <c r="F50" s="4"/>
      <c r="G50" s="4" t="s">
        <v>97</v>
      </c>
      <c r="H50" s="4" t="n">
        <v>1</v>
      </c>
      <c r="I50" s="5" t="s">
        <v>257</v>
      </c>
      <c r="J50" s="5"/>
      <c r="K50" s="5"/>
      <c r="L50" s="16" t="n">
        <v>0.8</v>
      </c>
    </row>
    <row r="51" customFormat="false" ht="15" hidden="false" customHeight="false" outlineLevel="0" collapsed="false">
      <c r="A51" s="4" t="s">
        <v>258</v>
      </c>
      <c r="B51" s="5" t="s">
        <v>259</v>
      </c>
      <c r="C51" s="4" t="s">
        <v>42</v>
      </c>
      <c r="D51" s="4" t="n">
        <v>599</v>
      </c>
      <c r="E51" s="9" t="s">
        <v>23</v>
      </c>
      <c r="F51" s="4"/>
      <c r="G51" s="4" t="s">
        <v>101</v>
      </c>
      <c r="H51" s="4" t="n">
        <v>2</v>
      </c>
      <c r="I51" s="5" t="s">
        <v>260</v>
      </c>
      <c r="J51" s="5"/>
      <c r="K51" s="5"/>
      <c r="L51" s="16" t="n">
        <v>1</v>
      </c>
    </row>
    <row r="52" customFormat="false" ht="68.65" hidden="false" customHeight="false" outlineLevel="0" collapsed="false">
      <c r="A52" s="4" t="s">
        <v>261</v>
      </c>
      <c r="B52" s="5" t="s">
        <v>262</v>
      </c>
      <c r="C52" s="4" t="s">
        <v>42</v>
      </c>
      <c r="D52" s="4" t="n">
        <v>200</v>
      </c>
      <c r="E52" s="11" t="s">
        <v>24</v>
      </c>
      <c r="F52" s="9" t="s">
        <v>114</v>
      </c>
      <c r="G52" s="4" t="s">
        <v>101</v>
      </c>
      <c r="H52" s="4" t="n">
        <v>0</v>
      </c>
      <c r="I52" s="5" t="s">
        <v>263</v>
      </c>
      <c r="J52" s="5" t="s">
        <v>264</v>
      </c>
      <c r="K52" s="5" t="s">
        <v>265</v>
      </c>
      <c r="L52" s="16" t="n">
        <v>0.92</v>
      </c>
    </row>
    <row r="53" customFormat="false" ht="23.85" hidden="false" customHeight="false" outlineLevel="0" collapsed="false">
      <c r="A53" s="4" t="s">
        <v>266</v>
      </c>
      <c r="B53" s="5" t="s">
        <v>267</v>
      </c>
      <c r="C53" s="4" t="s">
        <v>42</v>
      </c>
      <c r="D53" s="4" t="n">
        <v>576</v>
      </c>
      <c r="E53" s="9" t="s">
        <v>23</v>
      </c>
      <c r="F53" s="4"/>
      <c r="G53" s="4" t="s">
        <v>97</v>
      </c>
      <c r="H53" s="4" t="n">
        <v>0</v>
      </c>
      <c r="I53" s="5" t="s">
        <v>268</v>
      </c>
      <c r="J53" s="5"/>
      <c r="K53" s="5"/>
      <c r="L53" s="16" t="n">
        <v>1</v>
      </c>
    </row>
    <row r="54" customFormat="false" ht="15" hidden="false" customHeight="false" outlineLevel="0" collapsed="false">
      <c r="A54" s="4" t="s">
        <v>269</v>
      </c>
      <c r="B54" s="5" t="s">
        <v>270</v>
      </c>
      <c r="C54" s="4" t="s">
        <v>42</v>
      </c>
      <c r="D54" s="4" t="n">
        <v>177</v>
      </c>
      <c r="E54" s="9" t="s">
        <v>23</v>
      </c>
      <c r="F54" s="4"/>
      <c r="G54" s="4" t="s">
        <v>97</v>
      </c>
      <c r="H54" s="4" t="n">
        <v>0</v>
      </c>
      <c r="I54" s="5" t="s">
        <v>271</v>
      </c>
      <c r="J54" s="5"/>
      <c r="K54" s="5"/>
      <c r="L54" s="16" t="n">
        <v>0.7</v>
      </c>
    </row>
    <row r="55" customFormat="false" ht="15" hidden="false" customHeight="false" outlineLevel="0" collapsed="false">
      <c r="A55" s="4" t="s">
        <v>272</v>
      </c>
      <c r="B55" s="5" t="s">
        <v>273</v>
      </c>
      <c r="C55" s="4" t="s">
        <v>42</v>
      </c>
      <c r="D55" s="4" t="n">
        <v>122</v>
      </c>
      <c r="E55" s="9" t="s">
        <v>23</v>
      </c>
      <c r="F55" s="4"/>
      <c r="G55" s="4" t="s">
        <v>101</v>
      </c>
      <c r="H55" s="4" t="n">
        <v>1</v>
      </c>
      <c r="I55" s="5" t="s">
        <v>274</v>
      </c>
      <c r="J55" s="5"/>
      <c r="K55" s="5"/>
      <c r="L55" s="16" t="n">
        <v>0.8</v>
      </c>
    </row>
    <row r="56" customFormat="false" ht="15" hidden="false" customHeight="false" outlineLevel="0" collapsed="false">
      <c r="A56" s="4" t="s">
        <v>275</v>
      </c>
      <c r="B56" s="5" t="s">
        <v>276</v>
      </c>
      <c r="C56" s="4" t="s">
        <v>42</v>
      </c>
      <c r="D56" s="4" t="n">
        <v>518</v>
      </c>
      <c r="E56" s="9" t="s">
        <v>23</v>
      </c>
      <c r="F56" s="4"/>
      <c r="G56" s="4" t="s">
        <v>101</v>
      </c>
      <c r="H56" s="4" t="n">
        <v>1</v>
      </c>
      <c r="I56" s="5" t="s">
        <v>277</v>
      </c>
      <c r="J56" s="5"/>
      <c r="K56" s="5"/>
      <c r="L56" s="16" t="n">
        <v>0.92</v>
      </c>
    </row>
    <row r="57" customFormat="false" ht="46.25" hidden="false" customHeight="false" outlineLevel="0" collapsed="false">
      <c r="A57" s="4" t="s">
        <v>278</v>
      </c>
      <c r="B57" s="5" t="s">
        <v>279</v>
      </c>
      <c r="C57" s="4" t="s">
        <v>42</v>
      </c>
      <c r="D57" s="4" t="n">
        <v>409</v>
      </c>
      <c r="E57" s="11" t="s">
        <v>24</v>
      </c>
      <c r="F57" s="9" t="s">
        <v>114</v>
      </c>
      <c r="G57" s="4" t="s">
        <v>97</v>
      </c>
      <c r="H57" s="4" t="n">
        <v>0</v>
      </c>
      <c r="I57" s="5" t="s">
        <v>271</v>
      </c>
      <c r="J57" s="5" t="s">
        <v>280</v>
      </c>
      <c r="K57" s="5" t="s">
        <v>281</v>
      </c>
      <c r="L57" s="16" t="n">
        <v>0.83</v>
      </c>
    </row>
    <row r="58" customFormat="false" ht="23.85" hidden="false" customHeight="false" outlineLevel="0" collapsed="false">
      <c r="A58" s="4" t="s">
        <v>282</v>
      </c>
      <c r="B58" s="5" t="s">
        <v>283</v>
      </c>
      <c r="C58" s="4" t="s">
        <v>42</v>
      </c>
      <c r="D58" s="4" t="n">
        <v>1244</v>
      </c>
      <c r="E58" s="9" t="s">
        <v>23</v>
      </c>
      <c r="F58" s="4"/>
      <c r="G58" s="4" t="s">
        <v>101</v>
      </c>
      <c r="H58" s="4" t="n">
        <v>3</v>
      </c>
      <c r="I58" s="5" t="s">
        <v>284</v>
      </c>
      <c r="J58" s="5"/>
      <c r="K58" s="5"/>
      <c r="L58" s="16" t="n">
        <v>0.7</v>
      </c>
    </row>
    <row r="59" customFormat="false" ht="23.85" hidden="false" customHeight="false" outlineLevel="0" collapsed="false">
      <c r="A59" s="4" t="s">
        <v>285</v>
      </c>
      <c r="B59" s="5" t="s">
        <v>286</v>
      </c>
      <c r="C59" s="4" t="s">
        <v>42</v>
      </c>
      <c r="D59" s="4" t="n">
        <v>237</v>
      </c>
      <c r="E59" s="9" t="s">
        <v>23</v>
      </c>
      <c r="F59" s="4"/>
      <c r="G59" s="4" t="s">
        <v>97</v>
      </c>
      <c r="H59" s="4" t="n">
        <v>1</v>
      </c>
      <c r="I59" s="5" t="s">
        <v>287</v>
      </c>
      <c r="J59" s="5"/>
      <c r="K59" s="5"/>
      <c r="L59" s="16" t="n">
        <v>1</v>
      </c>
    </row>
    <row r="60" customFormat="false" ht="68.65" hidden="false" customHeight="false" outlineLevel="0" collapsed="false">
      <c r="A60" s="4" t="s">
        <v>288</v>
      </c>
      <c r="B60" s="5" t="s">
        <v>289</v>
      </c>
      <c r="C60" s="4" t="s">
        <v>42</v>
      </c>
      <c r="D60" s="4" t="n">
        <v>1321</v>
      </c>
      <c r="E60" s="11" t="s">
        <v>24</v>
      </c>
      <c r="F60" s="9" t="s">
        <v>114</v>
      </c>
      <c r="G60" s="4" t="s">
        <v>101</v>
      </c>
      <c r="H60" s="4" t="n">
        <v>3</v>
      </c>
      <c r="I60" s="5" t="s">
        <v>290</v>
      </c>
      <c r="J60" s="5" t="s">
        <v>291</v>
      </c>
      <c r="K60" s="5" t="s">
        <v>292</v>
      </c>
      <c r="L60" s="16" t="n">
        <v>0.74</v>
      </c>
    </row>
    <row r="61" customFormat="false" ht="23.85" hidden="false" customHeight="false" outlineLevel="0" collapsed="false">
      <c r="A61" s="4" t="s">
        <v>293</v>
      </c>
      <c r="B61" s="5" t="s">
        <v>294</v>
      </c>
      <c r="C61" s="4" t="s">
        <v>42</v>
      </c>
      <c r="D61" s="4" t="n">
        <v>121</v>
      </c>
      <c r="E61" s="9" t="s">
        <v>23</v>
      </c>
      <c r="F61" s="4"/>
      <c r="G61" s="4" t="s">
        <v>97</v>
      </c>
      <c r="H61" s="4" t="n">
        <v>0</v>
      </c>
      <c r="I61" s="5" t="s">
        <v>295</v>
      </c>
      <c r="J61" s="5"/>
      <c r="K61" s="5"/>
      <c r="L61" s="16" t="n">
        <v>0.83</v>
      </c>
    </row>
    <row r="62" customFormat="false" ht="23.85" hidden="false" customHeight="false" outlineLevel="0" collapsed="false">
      <c r="A62" s="4" t="s">
        <v>296</v>
      </c>
      <c r="B62" s="5" t="s">
        <v>297</v>
      </c>
      <c r="C62" s="4" t="s">
        <v>42</v>
      </c>
      <c r="D62" s="4" t="n">
        <v>25</v>
      </c>
      <c r="E62" s="15" t="s">
        <v>169</v>
      </c>
      <c r="F62" s="4"/>
      <c r="G62" s="4" t="s">
        <v>115</v>
      </c>
      <c r="H62" s="4" t="n">
        <v>0</v>
      </c>
      <c r="I62" s="5"/>
      <c r="J62" s="5" t="s">
        <v>298</v>
      </c>
      <c r="K62" s="5"/>
      <c r="L62" s="16" t="n">
        <v>1</v>
      </c>
    </row>
    <row r="63" customFormat="false" ht="113.4" hidden="false" customHeight="false" outlineLevel="0" collapsed="false">
      <c r="A63" s="4" t="s">
        <v>299</v>
      </c>
      <c r="B63" s="5" t="s">
        <v>300</v>
      </c>
      <c r="C63" s="4" t="s">
        <v>42</v>
      </c>
      <c r="D63" s="4" t="n">
        <v>2299</v>
      </c>
      <c r="E63" s="11" t="s">
        <v>24</v>
      </c>
      <c r="F63" s="9" t="s">
        <v>114</v>
      </c>
      <c r="G63" s="4" t="s">
        <v>101</v>
      </c>
      <c r="H63" s="4" t="n">
        <v>3</v>
      </c>
      <c r="I63" s="5" t="s">
        <v>301</v>
      </c>
      <c r="J63" s="5" t="s">
        <v>302</v>
      </c>
      <c r="K63" s="5" t="s">
        <v>303</v>
      </c>
      <c r="L63" s="16" t="n">
        <v>0.9</v>
      </c>
    </row>
    <row r="64" customFormat="false" ht="23.85" hidden="false" customHeight="false" outlineLevel="0" collapsed="false">
      <c r="A64" s="4" t="s">
        <v>304</v>
      </c>
      <c r="B64" s="5" t="s">
        <v>305</v>
      </c>
      <c r="C64" s="4" t="s">
        <v>42</v>
      </c>
      <c r="D64" s="4" t="n">
        <v>851</v>
      </c>
      <c r="E64" s="9" t="s">
        <v>23</v>
      </c>
      <c r="F64" s="4"/>
      <c r="G64" s="4" t="s">
        <v>101</v>
      </c>
      <c r="H64" s="4" t="n">
        <v>1</v>
      </c>
      <c r="I64" s="5" t="s">
        <v>306</v>
      </c>
      <c r="J64" s="5"/>
      <c r="K64" s="5"/>
      <c r="L64" s="16" t="n">
        <v>1</v>
      </c>
    </row>
    <row r="65" customFormat="false" ht="79.85" hidden="false" customHeight="false" outlineLevel="0" collapsed="false">
      <c r="A65" s="4" t="s">
        <v>307</v>
      </c>
      <c r="B65" s="5" t="s">
        <v>308</v>
      </c>
      <c r="C65" s="4" t="s">
        <v>42</v>
      </c>
      <c r="D65" s="4" t="n">
        <v>1014</v>
      </c>
      <c r="E65" s="11" t="s">
        <v>24</v>
      </c>
      <c r="F65" s="9" t="s">
        <v>114</v>
      </c>
      <c r="G65" s="4" t="s">
        <v>101</v>
      </c>
      <c r="H65" s="4" t="n">
        <v>1</v>
      </c>
      <c r="I65" s="5" t="s">
        <v>309</v>
      </c>
      <c r="J65" s="5" t="s">
        <v>310</v>
      </c>
      <c r="K65" s="5" t="s">
        <v>311</v>
      </c>
      <c r="L65" s="16" t="n">
        <v>0.57</v>
      </c>
    </row>
    <row r="66" customFormat="false" ht="57.45" hidden="false" customHeight="false" outlineLevel="0" collapsed="false">
      <c r="A66" s="4" t="s">
        <v>312</v>
      </c>
      <c r="B66" s="5" t="s">
        <v>313</v>
      </c>
      <c r="C66" s="4" t="s">
        <v>42</v>
      </c>
      <c r="D66" s="4" t="n">
        <v>781</v>
      </c>
      <c r="E66" s="11" t="s">
        <v>24</v>
      </c>
      <c r="F66" s="9" t="s">
        <v>114</v>
      </c>
      <c r="G66" s="4" t="s">
        <v>101</v>
      </c>
      <c r="H66" s="4" t="n">
        <v>1</v>
      </c>
      <c r="I66" s="5" t="s">
        <v>314</v>
      </c>
      <c r="J66" s="5" t="s">
        <v>315</v>
      </c>
      <c r="K66" s="5" t="s">
        <v>316</v>
      </c>
      <c r="L66" s="16" t="n">
        <v>0.87</v>
      </c>
    </row>
    <row r="67" customFormat="false" ht="23.85" hidden="false" customHeight="false" outlineLevel="0" collapsed="false">
      <c r="A67" s="4" t="s">
        <v>317</v>
      </c>
      <c r="B67" s="5" t="s">
        <v>318</v>
      </c>
      <c r="C67" s="4" t="s">
        <v>42</v>
      </c>
      <c r="D67" s="4" t="n">
        <v>639</v>
      </c>
      <c r="E67" s="9" t="s">
        <v>23</v>
      </c>
      <c r="F67" s="4"/>
      <c r="G67" s="4" t="s">
        <v>101</v>
      </c>
      <c r="H67" s="4" t="n">
        <v>1</v>
      </c>
      <c r="I67" s="5" t="s">
        <v>319</v>
      </c>
      <c r="J67" s="5"/>
      <c r="K67" s="5"/>
      <c r="L67" s="16" t="n">
        <v>0.99</v>
      </c>
    </row>
    <row r="68" customFormat="false" ht="23.85" hidden="false" customHeight="false" outlineLevel="0" collapsed="false">
      <c r="A68" s="4" t="s">
        <v>320</v>
      </c>
      <c r="B68" s="5" t="s">
        <v>321</v>
      </c>
      <c r="C68" s="4" t="s">
        <v>42</v>
      </c>
      <c r="D68" s="4" t="n">
        <v>444</v>
      </c>
      <c r="E68" s="9" t="s">
        <v>23</v>
      </c>
      <c r="F68" s="4"/>
      <c r="G68" s="4" t="s">
        <v>97</v>
      </c>
      <c r="H68" s="4" t="n">
        <v>1</v>
      </c>
      <c r="I68" s="5" t="s">
        <v>322</v>
      </c>
      <c r="J68" s="5"/>
      <c r="K68" s="5"/>
      <c r="L68" s="16" t="n">
        <v>0.78</v>
      </c>
    </row>
    <row r="69" customFormat="false" ht="23.85" hidden="false" customHeight="false" outlineLevel="0" collapsed="false">
      <c r="A69" s="4" t="s">
        <v>323</v>
      </c>
      <c r="B69" s="5" t="s">
        <v>163</v>
      </c>
      <c r="C69" s="4" t="s">
        <v>42</v>
      </c>
      <c r="D69" s="4" t="n">
        <v>512</v>
      </c>
      <c r="E69" s="15" t="s">
        <v>169</v>
      </c>
      <c r="F69" s="4"/>
      <c r="G69" s="4" t="s">
        <v>115</v>
      </c>
      <c r="H69" s="4" t="n">
        <v>0</v>
      </c>
      <c r="I69" s="5"/>
      <c r="J69" s="5" t="s">
        <v>324</v>
      </c>
      <c r="K69" s="5"/>
      <c r="L69" s="16" t="n">
        <v>1</v>
      </c>
    </row>
    <row r="70" customFormat="false" ht="15" hidden="false" customHeight="false" outlineLevel="0" collapsed="false">
      <c r="A70" s="4" t="s">
        <v>325</v>
      </c>
      <c r="B70" s="5" t="s">
        <v>326</v>
      </c>
      <c r="C70" s="4" t="s">
        <v>42</v>
      </c>
      <c r="D70" s="4" t="n">
        <v>311</v>
      </c>
      <c r="E70" s="9" t="s">
        <v>23</v>
      </c>
      <c r="F70" s="4"/>
      <c r="G70" s="4" t="s">
        <v>97</v>
      </c>
      <c r="H70" s="4" t="n">
        <v>0</v>
      </c>
      <c r="I70" s="5" t="s">
        <v>327</v>
      </c>
      <c r="J70" s="5"/>
      <c r="K70" s="5"/>
      <c r="L70" s="16" t="n">
        <v>0.83</v>
      </c>
    </row>
    <row r="71" customFormat="false" ht="15" hidden="false" customHeight="false" outlineLevel="0" collapsed="false">
      <c r="A71" s="4" t="s">
        <v>328</v>
      </c>
      <c r="B71" s="5" t="s">
        <v>329</v>
      </c>
      <c r="C71" s="4" t="s">
        <v>42</v>
      </c>
      <c r="D71" s="4" t="n">
        <v>364</v>
      </c>
      <c r="E71" s="9" t="s">
        <v>23</v>
      </c>
      <c r="F71" s="4"/>
      <c r="G71" s="4" t="s">
        <v>97</v>
      </c>
      <c r="H71" s="4" t="n">
        <v>0</v>
      </c>
      <c r="I71" s="5" t="s">
        <v>327</v>
      </c>
      <c r="J71" s="5"/>
      <c r="K71" s="5"/>
      <c r="L71" s="16" t="n">
        <v>0.83</v>
      </c>
    </row>
    <row r="72" customFormat="false" ht="23.85" hidden="false" customHeight="false" outlineLevel="0" collapsed="false">
      <c r="A72" s="4" t="s">
        <v>330</v>
      </c>
      <c r="B72" s="5" t="s">
        <v>331</v>
      </c>
      <c r="C72" s="4" t="s">
        <v>42</v>
      </c>
      <c r="D72" s="4" t="n">
        <v>759</v>
      </c>
      <c r="E72" s="9" t="s">
        <v>23</v>
      </c>
      <c r="F72" s="4"/>
      <c r="G72" s="4" t="s">
        <v>101</v>
      </c>
      <c r="H72" s="4" t="n">
        <v>2</v>
      </c>
      <c r="I72" s="5" t="s">
        <v>332</v>
      </c>
      <c r="J72" s="5"/>
      <c r="K72" s="5"/>
      <c r="L72" s="16" t="n">
        <v>0.99</v>
      </c>
    </row>
    <row r="73" customFormat="false" ht="91" hidden="false" customHeight="false" outlineLevel="0" collapsed="false">
      <c r="A73" s="4" t="s">
        <v>333</v>
      </c>
      <c r="B73" s="5" t="s">
        <v>166</v>
      </c>
      <c r="C73" s="4" t="s">
        <v>42</v>
      </c>
      <c r="D73" s="4" t="n">
        <v>639</v>
      </c>
      <c r="E73" s="11" t="s">
        <v>24</v>
      </c>
      <c r="F73" s="9" t="s">
        <v>114</v>
      </c>
      <c r="G73" s="4" t="s">
        <v>101</v>
      </c>
      <c r="H73" s="4" t="n">
        <v>4</v>
      </c>
      <c r="I73" s="5" t="s">
        <v>334</v>
      </c>
      <c r="J73" s="5" t="s">
        <v>335</v>
      </c>
      <c r="K73" s="5" t="s">
        <v>336</v>
      </c>
      <c r="L73" s="16" t="n">
        <v>0.3</v>
      </c>
    </row>
    <row r="74" customFormat="false" ht="15" hidden="false" customHeight="false" outlineLevel="0" collapsed="false">
      <c r="A74" s="4" t="s">
        <v>337</v>
      </c>
      <c r="B74" s="5" t="s">
        <v>96</v>
      </c>
      <c r="C74" s="4" t="s">
        <v>47</v>
      </c>
      <c r="D74" s="4" t="n">
        <v>553</v>
      </c>
      <c r="E74" s="9" t="s">
        <v>23</v>
      </c>
      <c r="F74" s="4"/>
      <c r="G74" s="4" t="s">
        <v>101</v>
      </c>
      <c r="H74" s="4" t="n">
        <v>1</v>
      </c>
      <c r="I74" s="5" t="s">
        <v>338</v>
      </c>
      <c r="J74" s="5"/>
      <c r="K74" s="5"/>
      <c r="L74" s="16" t="n">
        <v>1</v>
      </c>
    </row>
    <row r="75" customFormat="false" ht="15" hidden="false" customHeight="false" outlineLevel="0" collapsed="false">
      <c r="A75" s="4" t="s">
        <v>339</v>
      </c>
      <c r="B75" s="5" t="s">
        <v>340</v>
      </c>
      <c r="C75" s="4" t="s">
        <v>47</v>
      </c>
      <c r="D75" s="4" t="n">
        <v>181</v>
      </c>
      <c r="E75" s="9" t="s">
        <v>23</v>
      </c>
      <c r="F75" s="4"/>
      <c r="G75" s="4" t="s">
        <v>97</v>
      </c>
      <c r="H75" s="4" t="n">
        <v>2</v>
      </c>
      <c r="I75" s="5" t="s">
        <v>341</v>
      </c>
      <c r="J75" s="5"/>
      <c r="K75" s="5"/>
      <c r="L75" s="16" t="n">
        <v>1</v>
      </c>
    </row>
    <row r="76" customFormat="false" ht="15" hidden="false" customHeight="false" outlineLevel="0" collapsed="false">
      <c r="A76" s="4" t="s">
        <v>342</v>
      </c>
      <c r="B76" s="5" t="s">
        <v>343</v>
      </c>
      <c r="C76" s="4" t="s">
        <v>47</v>
      </c>
      <c r="D76" s="4" t="n">
        <v>166</v>
      </c>
      <c r="E76" s="9" t="s">
        <v>23</v>
      </c>
      <c r="F76" s="4"/>
      <c r="G76" s="4" t="s">
        <v>101</v>
      </c>
      <c r="H76" s="4" t="n">
        <v>1</v>
      </c>
      <c r="I76" s="5" t="s">
        <v>344</v>
      </c>
      <c r="J76" s="5"/>
      <c r="K76" s="5"/>
      <c r="L76" s="16" t="n">
        <v>1</v>
      </c>
    </row>
    <row r="77" customFormat="false" ht="68.65" hidden="false" customHeight="false" outlineLevel="0" collapsed="false">
      <c r="A77" s="4" t="s">
        <v>345</v>
      </c>
      <c r="B77" s="5" t="s">
        <v>346</v>
      </c>
      <c r="C77" s="4" t="s">
        <v>47</v>
      </c>
      <c r="D77" s="4" t="n">
        <v>914</v>
      </c>
      <c r="E77" s="11" t="s">
        <v>24</v>
      </c>
      <c r="F77" s="9" t="s">
        <v>114</v>
      </c>
      <c r="G77" s="4" t="s">
        <v>97</v>
      </c>
      <c r="H77" s="4" t="n">
        <v>1</v>
      </c>
      <c r="I77" s="5" t="s">
        <v>347</v>
      </c>
      <c r="J77" s="5" t="s">
        <v>348</v>
      </c>
      <c r="K77" s="5" t="s">
        <v>349</v>
      </c>
      <c r="L77" s="16" t="n">
        <v>1</v>
      </c>
    </row>
    <row r="78" customFormat="false" ht="46.25" hidden="false" customHeight="false" outlineLevel="0" collapsed="false">
      <c r="A78" s="4" t="s">
        <v>350</v>
      </c>
      <c r="B78" s="5" t="s">
        <v>351</v>
      </c>
      <c r="C78" s="4" t="s">
        <v>47</v>
      </c>
      <c r="D78" s="4" t="n">
        <v>20</v>
      </c>
      <c r="E78" s="15" t="s">
        <v>169</v>
      </c>
      <c r="F78" s="4"/>
      <c r="G78" s="4" t="s">
        <v>115</v>
      </c>
      <c r="H78" s="4" t="n">
        <v>0</v>
      </c>
      <c r="I78" s="5" t="s">
        <v>352</v>
      </c>
      <c r="J78" s="5" t="s">
        <v>353</v>
      </c>
      <c r="K78" s="5"/>
      <c r="L78" s="16" t="n">
        <v>1</v>
      </c>
    </row>
    <row r="79" customFormat="false" ht="91" hidden="false" customHeight="false" outlineLevel="0" collapsed="false">
      <c r="A79" s="4" t="s">
        <v>354</v>
      </c>
      <c r="B79" s="5" t="s">
        <v>355</v>
      </c>
      <c r="C79" s="4" t="s">
        <v>47</v>
      </c>
      <c r="D79" s="4" t="n">
        <v>1018</v>
      </c>
      <c r="E79" s="11" t="s">
        <v>24</v>
      </c>
      <c r="F79" s="9" t="s">
        <v>114</v>
      </c>
      <c r="G79" s="4" t="s">
        <v>101</v>
      </c>
      <c r="H79" s="4" t="n">
        <v>2</v>
      </c>
      <c r="I79" s="5" t="s">
        <v>356</v>
      </c>
      <c r="J79" s="5" t="s">
        <v>357</v>
      </c>
      <c r="K79" s="5" t="s">
        <v>358</v>
      </c>
      <c r="L79" s="16" t="n">
        <v>1</v>
      </c>
    </row>
    <row r="80" customFormat="false" ht="15" hidden="false" customHeight="false" outlineLevel="0" collapsed="false">
      <c r="A80" s="4" t="s">
        <v>359</v>
      </c>
      <c r="B80" s="5" t="s">
        <v>360</v>
      </c>
      <c r="C80" s="4" t="s">
        <v>47</v>
      </c>
      <c r="D80" s="4" t="n">
        <v>745</v>
      </c>
      <c r="E80" s="9" t="s">
        <v>23</v>
      </c>
      <c r="F80" s="4"/>
      <c r="G80" s="4" t="s">
        <v>97</v>
      </c>
      <c r="H80" s="4" t="n">
        <v>1</v>
      </c>
      <c r="I80" s="5" t="s">
        <v>361</v>
      </c>
      <c r="J80" s="5"/>
      <c r="K80" s="5"/>
      <c r="L80" s="16" t="n">
        <v>0.89</v>
      </c>
    </row>
    <row r="81" customFormat="false" ht="23.85" hidden="false" customHeight="false" outlineLevel="0" collapsed="false">
      <c r="A81" s="4" t="s">
        <v>362</v>
      </c>
      <c r="B81" s="5" t="s">
        <v>363</v>
      </c>
      <c r="C81" s="4" t="s">
        <v>47</v>
      </c>
      <c r="D81" s="4" t="n">
        <v>286</v>
      </c>
      <c r="E81" s="9" t="s">
        <v>23</v>
      </c>
      <c r="F81" s="4"/>
      <c r="G81" s="4" t="s">
        <v>101</v>
      </c>
      <c r="H81" s="4" t="n">
        <v>1</v>
      </c>
      <c r="I81" s="5" t="s">
        <v>364</v>
      </c>
      <c r="J81" s="5"/>
      <c r="K81" s="5"/>
      <c r="L81" s="16" t="n">
        <v>1</v>
      </c>
    </row>
    <row r="82" customFormat="false" ht="15" hidden="false" customHeight="false" outlineLevel="0" collapsed="false">
      <c r="A82" s="4" t="s">
        <v>365</v>
      </c>
      <c r="B82" s="5" t="s">
        <v>366</v>
      </c>
      <c r="C82" s="4" t="s">
        <v>47</v>
      </c>
      <c r="D82" s="4" t="n">
        <v>311</v>
      </c>
      <c r="E82" s="9" t="s">
        <v>23</v>
      </c>
      <c r="F82" s="4"/>
      <c r="G82" s="4" t="s">
        <v>101</v>
      </c>
      <c r="H82" s="4" t="n">
        <v>1</v>
      </c>
      <c r="I82" s="5" t="s">
        <v>367</v>
      </c>
      <c r="J82" s="5"/>
      <c r="K82" s="5"/>
      <c r="L82" s="16" t="n">
        <v>1</v>
      </c>
    </row>
    <row r="83" customFormat="false" ht="102.2" hidden="false" customHeight="false" outlineLevel="0" collapsed="false">
      <c r="A83" s="4" t="s">
        <v>368</v>
      </c>
      <c r="B83" s="5" t="s">
        <v>369</v>
      </c>
      <c r="C83" s="4" t="s">
        <v>47</v>
      </c>
      <c r="D83" s="4" t="n">
        <v>236</v>
      </c>
      <c r="E83" s="11" t="s">
        <v>24</v>
      </c>
      <c r="F83" s="9" t="s">
        <v>114</v>
      </c>
      <c r="G83" s="4" t="s">
        <v>97</v>
      </c>
      <c r="H83" s="4" t="n">
        <v>1</v>
      </c>
      <c r="I83" s="5" t="s">
        <v>370</v>
      </c>
      <c r="J83" s="5" t="s">
        <v>371</v>
      </c>
      <c r="K83" s="5" t="s">
        <v>372</v>
      </c>
      <c r="L83" s="16" t="n">
        <v>0.78</v>
      </c>
    </row>
    <row r="84" customFormat="false" ht="23.85" hidden="false" customHeight="false" outlineLevel="0" collapsed="false">
      <c r="A84" s="4" t="s">
        <v>373</v>
      </c>
      <c r="B84" s="5" t="s">
        <v>374</v>
      </c>
      <c r="C84" s="4" t="s">
        <v>47</v>
      </c>
      <c r="D84" s="4" t="n">
        <v>611</v>
      </c>
      <c r="E84" s="9" t="s">
        <v>23</v>
      </c>
      <c r="F84" s="4"/>
      <c r="G84" s="4" t="s">
        <v>101</v>
      </c>
      <c r="H84" s="4" t="n">
        <v>3</v>
      </c>
      <c r="I84" s="5" t="s">
        <v>375</v>
      </c>
      <c r="J84" s="5"/>
      <c r="K84" s="5"/>
      <c r="L84" s="16" t="n">
        <v>0.87</v>
      </c>
    </row>
    <row r="85" customFormat="false" ht="79.85" hidden="false" customHeight="false" outlineLevel="0" collapsed="false">
      <c r="A85" s="4" t="s">
        <v>376</v>
      </c>
      <c r="B85" s="5" t="s">
        <v>377</v>
      </c>
      <c r="C85" s="4" t="s">
        <v>47</v>
      </c>
      <c r="D85" s="4" t="n">
        <v>395</v>
      </c>
      <c r="E85" s="11" t="s">
        <v>24</v>
      </c>
      <c r="F85" s="9" t="s">
        <v>114</v>
      </c>
      <c r="G85" s="4" t="s">
        <v>101</v>
      </c>
      <c r="H85" s="4" t="n">
        <v>1</v>
      </c>
      <c r="I85" s="5" t="s">
        <v>378</v>
      </c>
      <c r="J85" s="5" t="s">
        <v>379</v>
      </c>
      <c r="K85" s="5" t="s">
        <v>380</v>
      </c>
      <c r="L85" s="16" t="n">
        <v>1</v>
      </c>
    </row>
    <row r="86" customFormat="false" ht="102.2" hidden="false" customHeight="false" outlineLevel="0" collapsed="false">
      <c r="A86" s="4" t="s">
        <v>381</v>
      </c>
      <c r="B86" s="5" t="s">
        <v>382</v>
      </c>
      <c r="C86" s="4" t="s">
        <v>47</v>
      </c>
      <c r="D86" s="4" t="n">
        <v>976</v>
      </c>
      <c r="E86" s="11" t="s">
        <v>24</v>
      </c>
      <c r="F86" s="9" t="s">
        <v>114</v>
      </c>
      <c r="G86" s="4" t="s">
        <v>101</v>
      </c>
      <c r="H86" s="4" t="n">
        <v>2</v>
      </c>
      <c r="I86" s="5" t="s">
        <v>383</v>
      </c>
      <c r="J86" s="5" t="s">
        <v>384</v>
      </c>
      <c r="K86" s="5" t="s">
        <v>385</v>
      </c>
      <c r="L86" s="16" t="n">
        <v>0.4</v>
      </c>
    </row>
    <row r="87" customFormat="false" ht="113.4" hidden="false" customHeight="false" outlineLevel="0" collapsed="false">
      <c r="A87" s="4" t="s">
        <v>386</v>
      </c>
      <c r="B87" s="5" t="s">
        <v>387</v>
      </c>
      <c r="C87" s="4" t="s">
        <v>47</v>
      </c>
      <c r="D87" s="4" t="n">
        <v>1400</v>
      </c>
      <c r="E87" s="11" t="s">
        <v>24</v>
      </c>
      <c r="F87" s="9" t="s">
        <v>114</v>
      </c>
      <c r="G87" s="4" t="s">
        <v>101</v>
      </c>
      <c r="H87" s="4" t="n">
        <v>5</v>
      </c>
      <c r="I87" s="5" t="s">
        <v>388</v>
      </c>
      <c r="J87" s="5" t="s">
        <v>389</v>
      </c>
      <c r="K87" s="5" t="s">
        <v>390</v>
      </c>
      <c r="L87" s="16" t="n">
        <v>0.67</v>
      </c>
    </row>
    <row r="88" customFormat="false" ht="135.8" hidden="false" customHeight="false" outlineLevel="0" collapsed="false">
      <c r="A88" s="4" t="s">
        <v>391</v>
      </c>
      <c r="B88" s="5" t="s">
        <v>392</v>
      </c>
      <c r="C88" s="4" t="s">
        <v>47</v>
      </c>
      <c r="D88" s="4" t="n">
        <v>2927</v>
      </c>
      <c r="E88" s="11" t="s">
        <v>24</v>
      </c>
      <c r="F88" s="9" t="s">
        <v>114</v>
      </c>
      <c r="G88" s="4" t="s">
        <v>101</v>
      </c>
      <c r="H88" s="4" t="n">
        <v>4</v>
      </c>
      <c r="I88" s="5" t="s">
        <v>393</v>
      </c>
      <c r="J88" s="5" t="s">
        <v>394</v>
      </c>
      <c r="K88" s="5" t="s">
        <v>395</v>
      </c>
      <c r="L88" s="16" t="n">
        <v>0.66</v>
      </c>
    </row>
    <row r="89" customFormat="false" ht="15" hidden="false" customHeight="false" outlineLevel="0" collapsed="false">
      <c r="A89" s="4" t="s">
        <v>396</v>
      </c>
      <c r="B89" s="5" t="s">
        <v>397</v>
      </c>
      <c r="C89" s="4" t="s">
        <v>47</v>
      </c>
      <c r="D89" s="4" t="n">
        <v>1765</v>
      </c>
      <c r="E89" s="9" t="s">
        <v>23</v>
      </c>
      <c r="F89" s="4"/>
      <c r="G89" s="4" t="s">
        <v>101</v>
      </c>
      <c r="H89" s="4" t="n">
        <v>2</v>
      </c>
      <c r="I89" s="5" t="s">
        <v>398</v>
      </c>
      <c r="J89" s="5"/>
      <c r="K89" s="5"/>
      <c r="L89" s="16" t="n">
        <v>0.76</v>
      </c>
    </row>
    <row r="90" customFormat="false" ht="23.85" hidden="false" customHeight="false" outlineLevel="0" collapsed="false">
      <c r="A90" s="4" t="s">
        <v>399</v>
      </c>
      <c r="B90" s="5" t="s">
        <v>163</v>
      </c>
      <c r="C90" s="4" t="s">
        <v>47</v>
      </c>
      <c r="D90" s="4" t="n">
        <v>380</v>
      </c>
      <c r="E90" s="9" t="s">
        <v>23</v>
      </c>
      <c r="F90" s="4"/>
      <c r="G90" s="4" t="s">
        <v>115</v>
      </c>
      <c r="H90" s="4" t="n">
        <v>0</v>
      </c>
      <c r="I90" s="5" t="s">
        <v>400</v>
      </c>
      <c r="J90" s="5"/>
      <c r="K90" s="5"/>
      <c r="L90" s="16" t="n">
        <v>0.88</v>
      </c>
    </row>
    <row r="91" customFormat="false" ht="23.85" hidden="false" customHeight="false" outlineLevel="0" collapsed="false">
      <c r="A91" s="4" t="s">
        <v>401</v>
      </c>
      <c r="B91" s="5" t="s">
        <v>166</v>
      </c>
      <c r="C91" s="4" t="s">
        <v>47</v>
      </c>
      <c r="D91" s="4" t="n">
        <v>607</v>
      </c>
      <c r="E91" s="9" t="s">
        <v>23</v>
      </c>
      <c r="F91" s="4"/>
      <c r="G91" s="4" t="s">
        <v>101</v>
      </c>
      <c r="H91" s="4" t="n">
        <v>5</v>
      </c>
      <c r="I91" s="5" t="s">
        <v>402</v>
      </c>
      <c r="J91" s="5"/>
      <c r="K91" s="5"/>
      <c r="L91" s="16" t="n">
        <v>0.23</v>
      </c>
    </row>
    <row r="92" customFormat="false" ht="68.65" hidden="false" customHeight="false" outlineLevel="0" collapsed="false">
      <c r="A92" s="4" t="s">
        <v>403</v>
      </c>
      <c r="B92" s="5" t="s">
        <v>96</v>
      </c>
      <c r="C92" s="4" t="s">
        <v>51</v>
      </c>
      <c r="D92" s="4" t="n">
        <v>275</v>
      </c>
      <c r="E92" s="15" t="s">
        <v>169</v>
      </c>
      <c r="F92" s="4"/>
      <c r="G92" s="4" t="s">
        <v>115</v>
      </c>
      <c r="H92" s="4" t="n">
        <v>0</v>
      </c>
      <c r="I92" s="5" t="s">
        <v>170</v>
      </c>
      <c r="J92" s="5" t="s">
        <v>404</v>
      </c>
      <c r="K92" s="5"/>
      <c r="L92" s="16" t="n">
        <v>1</v>
      </c>
    </row>
    <row r="93" customFormat="false" ht="15" hidden="false" customHeight="false" outlineLevel="0" collapsed="false">
      <c r="A93" s="4" t="s">
        <v>405</v>
      </c>
      <c r="B93" s="5" t="s">
        <v>406</v>
      </c>
      <c r="C93" s="4" t="s">
        <v>51</v>
      </c>
      <c r="D93" s="4" t="n">
        <v>203</v>
      </c>
      <c r="E93" s="9" t="s">
        <v>23</v>
      </c>
      <c r="F93" s="4"/>
      <c r="G93" s="4" t="s">
        <v>101</v>
      </c>
      <c r="H93" s="4" t="n">
        <v>1</v>
      </c>
      <c r="I93" s="5" t="s">
        <v>174</v>
      </c>
      <c r="J93" s="5"/>
      <c r="K93" s="5"/>
      <c r="L93" s="16" t="n">
        <v>0.8</v>
      </c>
    </row>
    <row r="94" customFormat="false" ht="113.4" hidden="false" customHeight="false" outlineLevel="0" collapsed="false">
      <c r="A94" s="4" t="s">
        <v>407</v>
      </c>
      <c r="B94" s="5" t="s">
        <v>408</v>
      </c>
      <c r="C94" s="4" t="s">
        <v>51</v>
      </c>
      <c r="D94" s="4" t="n">
        <v>496</v>
      </c>
      <c r="E94" s="11" t="s">
        <v>24</v>
      </c>
      <c r="F94" s="9" t="s">
        <v>114</v>
      </c>
      <c r="G94" s="4" t="s">
        <v>101</v>
      </c>
      <c r="H94" s="4" t="n">
        <v>5</v>
      </c>
      <c r="I94" s="5" t="s">
        <v>409</v>
      </c>
      <c r="J94" s="5" t="s">
        <v>410</v>
      </c>
      <c r="K94" s="5" t="s">
        <v>411</v>
      </c>
      <c r="L94" s="16" t="n">
        <v>0.71</v>
      </c>
    </row>
    <row r="95" customFormat="false" ht="23.85" hidden="false" customHeight="false" outlineLevel="0" collapsed="false">
      <c r="A95" s="4" t="s">
        <v>412</v>
      </c>
      <c r="B95" s="5" t="s">
        <v>413</v>
      </c>
      <c r="C95" s="4" t="s">
        <v>51</v>
      </c>
      <c r="D95" s="4" t="n">
        <v>454</v>
      </c>
      <c r="E95" s="9" t="s">
        <v>23</v>
      </c>
      <c r="F95" s="4"/>
      <c r="G95" s="4" t="s">
        <v>101</v>
      </c>
      <c r="H95" s="4" t="n">
        <v>4</v>
      </c>
      <c r="I95" s="5" t="s">
        <v>414</v>
      </c>
      <c r="J95" s="5"/>
      <c r="K95" s="5"/>
      <c r="L95" s="16" t="n">
        <v>1</v>
      </c>
    </row>
    <row r="96" customFormat="false" ht="23.85" hidden="false" customHeight="false" outlineLevel="0" collapsed="false">
      <c r="A96" s="4" t="s">
        <v>415</v>
      </c>
      <c r="B96" s="5" t="s">
        <v>416</v>
      </c>
      <c r="C96" s="4" t="s">
        <v>51</v>
      </c>
      <c r="D96" s="4" t="n">
        <v>261</v>
      </c>
      <c r="E96" s="9" t="s">
        <v>23</v>
      </c>
      <c r="F96" s="4"/>
      <c r="G96" s="4" t="s">
        <v>101</v>
      </c>
      <c r="H96" s="4" t="n">
        <v>4</v>
      </c>
      <c r="I96" s="5" t="s">
        <v>417</v>
      </c>
      <c r="J96" s="5"/>
      <c r="K96" s="5"/>
      <c r="L96" s="16" t="n">
        <v>1</v>
      </c>
    </row>
    <row r="97" customFormat="false" ht="15" hidden="false" customHeight="false" outlineLevel="0" collapsed="false">
      <c r="A97" s="4" t="s">
        <v>418</v>
      </c>
      <c r="B97" s="5" t="s">
        <v>419</v>
      </c>
      <c r="C97" s="4" t="s">
        <v>51</v>
      </c>
      <c r="D97" s="4" t="n">
        <v>155</v>
      </c>
      <c r="E97" s="9" t="s">
        <v>23</v>
      </c>
      <c r="F97" s="4"/>
      <c r="G97" s="4" t="s">
        <v>97</v>
      </c>
      <c r="H97" s="4" t="n">
        <v>1</v>
      </c>
      <c r="I97" s="5" t="s">
        <v>420</v>
      </c>
      <c r="J97" s="5"/>
      <c r="K97" s="5"/>
      <c r="L97" s="16" t="n">
        <v>1</v>
      </c>
    </row>
    <row r="98" customFormat="false" ht="15" hidden="false" customHeight="false" outlineLevel="0" collapsed="false">
      <c r="A98" s="4" t="s">
        <v>421</v>
      </c>
      <c r="B98" s="5" t="s">
        <v>422</v>
      </c>
      <c r="C98" s="4" t="s">
        <v>51</v>
      </c>
      <c r="D98" s="4" t="n">
        <v>60</v>
      </c>
      <c r="E98" s="9" t="s">
        <v>23</v>
      </c>
      <c r="F98" s="4"/>
      <c r="G98" s="4" t="s">
        <v>97</v>
      </c>
      <c r="H98" s="4" t="n">
        <v>0</v>
      </c>
      <c r="I98" s="5" t="s">
        <v>423</v>
      </c>
      <c r="J98" s="5"/>
      <c r="K98" s="5"/>
      <c r="L98" s="16" t="n">
        <v>1</v>
      </c>
    </row>
    <row r="99" customFormat="false" ht="15" hidden="false" customHeight="false" outlineLevel="0" collapsed="false">
      <c r="A99" s="4" t="s">
        <v>424</v>
      </c>
      <c r="B99" s="5" t="s">
        <v>425</v>
      </c>
      <c r="C99" s="4" t="s">
        <v>51</v>
      </c>
      <c r="D99" s="4" t="n">
        <v>106</v>
      </c>
      <c r="E99" s="9" t="s">
        <v>23</v>
      </c>
      <c r="F99" s="4"/>
      <c r="G99" s="4" t="s">
        <v>101</v>
      </c>
      <c r="H99" s="4" t="n">
        <v>1</v>
      </c>
      <c r="I99" s="5" t="s">
        <v>426</v>
      </c>
      <c r="J99" s="5"/>
      <c r="K99" s="5"/>
      <c r="L99" s="16" t="n">
        <v>1</v>
      </c>
    </row>
    <row r="100" customFormat="false" ht="15" hidden="false" customHeight="false" outlineLevel="0" collapsed="false">
      <c r="A100" s="4" t="s">
        <v>427</v>
      </c>
      <c r="B100" s="5" t="s">
        <v>428</v>
      </c>
      <c r="C100" s="4" t="s">
        <v>51</v>
      </c>
      <c r="D100" s="4" t="n">
        <v>185</v>
      </c>
      <c r="E100" s="9" t="s">
        <v>23</v>
      </c>
      <c r="F100" s="4"/>
      <c r="G100" s="4" t="s">
        <v>97</v>
      </c>
      <c r="H100" s="4" t="n">
        <v>1</v>
      </c>
      <c r="I100" s="5" t="s">
        <v>429</v>
      </c>
      <c r="J100" s="5"/>
      <c r="K100" s="5"/>
      <c r="L100" s="16" t="n">
        <v>1</v>
      </c>
    </row>
    <row r="101" customFormat="false" ht="15" hidden="false" customHeight="false" outlineLevel="0" collapsed="false">
      <c r="A101" s="4" t="s">
        <v>430</v>
      </c>
      <c r="B101" s="5" t="s">
        <v>431</v>
      </c>
      <c r="C101" s="4" t="s">
        <v>51</v>
      </c>
      <c r="D101" s="4" t="n">
        <v>295</v>
      </c>
      <c r="E101" s="9" t="s">
        <v>23</v>
      </c>
      <c r="F101" s="4"/>
      <c r="G101" s="4" t="s">
        <v>101</v>
      </c>
      <c r="H101" s="4" t="n">
        <v>1</v>
      </c>
      <c r="I101" s="5" t="s">
        <v>432</v>
      </c>
      <c r="J101" s="5"/>
      <c r="K101" s="5"/>
      <c r="L101" s="16" t="n">
        <v>1</v>
      </c>
    </row>
    <row r="102" customFormat="false" ht="15" hidden="false" customHeight="false" outlineLevel="0" collapsed="false">
      <c r="A102" s="4" t="s">
        <v>433</v>
      </c>
      <c r="B102" s="5" t="s">
        <v>434</v>
      </c>
      <c r="C102" s="4" t="s">
        <v>51</v>
      </c>
      <c r="D102" s="4" t="n">
        <v>200</v>
      </c>
      <c r="E102" s="9" t="s">
        <v>23</v>
      </c>
      <c r="F102" s="4"/>
      <c r="G102" s="4" t="s">
        <v>101</v>
      </c>
      <c r="H102" s="4" t="n">
        <v>2</v>
      </c>
      <c r="I102" s="5" t="s">
        <v>435</v>
      </c>
      <c r="J102" s="5"/>
      <c r="K102" s="5"/>
      <c r="L102" s="16" t="n">
        <v>1</v>
      </c>
    </row>
    <row r="103" customFormat="false" ht="15" hidden="false" customHeight="false" outlineLevel="0" collapsed="false">
      <c r="A103" s="4" t="s">
        <v>436</v>
      </c>
      <c r="B103" s="5" t="s">
        <v>437</v>
      </c>
      <c r="C103" s="4" t="s">
        <v>51</v>
      </c>
      <c r="D103" s="4" t="n">
        <v>205</v>
      </c>
      <c r="E103" s="9" t="s">
        <v>23</v>
      </c>
      <c r="F103" s="4"/>
      <c r="G103" s="4" t="s">
        <v>101</v>
      </c>
      <c r="H103" s="4" t="n">
        <v>2</v>
      </c>
      <c r="I103" s="5" t="s">
        <v>438</v>
      </c>
      <c r="J103" s="5"/>
      <c r="K103" s="5"/>
      <c r="L103" s="16" t="n">
        <v>1</v>
      </c>
    </row>
    <row r="104" customFormat="false" ht="15" hidden="false" customHeight="false" outlineLevel="0" collapsed="false">
      <c r="A104" s="4" t="s">
        <v>439</v>
      </c>
      <c r="B104" s="5" t="s">
        <v>440</v>
      </c>
      <c r="C104" s="4" t="s">
        <v>51</v>
      </c>
      <c r="D104" s="4" t="n">
        <v>256</v>
      </c>
      <c r="E104" s="9" t="s">
        <v>23</v>
      </c>
      <c r="F104" s="4"/>
      <c r="G104" s="4" t="s">
        <v>101</v>
      </c>
      <c r="H104" s="4" t="n">
        <v>2</v>
      </c>
      <c r="I104" s="5" t="s">
        <v>441</v>
      </c>
      <c r="J104" s="5"/>
      <c r="K104" s="5"/>
      <c r="L104" s="16" t="n">
        <v>1</v>
      </c>
    </row>
    <row r="105" customFormat="false" ht="102.2" hidden="false" customHeight="false" outlineLevel="0" collapsed="false">
      <c r="A105" s="4" t="s">
        <v>442</v>
      </c>
      <c r="B105" s="5" t="s">
        <v>163</v>
      </c>
      <c r="C105" s="4" t="s">
        <v>51</v>
      </c>
      <c r="D105" s="4" t="n">
        <v>214</v>
      </c>
      <c r="E105" s="15" t="s">
        <v>169</v>
      </c>
      <c r="F105" s="4"/>
      <c r="G105" s="4" t="s">
        <v>115</v>
      </c>
      <c r="H105" s="4" t="n">
        <v>0</v>
      </c>
      <c r="I105" s="5" t="s">
        <v>164</v>
      </c>
      <c r="J105" s="5" t="s">
        <v>443</v>
      </c>
      <c r="K105" s="5"/>
      <c r="L105" s="16" t="n">
        <v>0.67</v>
      </c>
    </row>
    <row r="106" customFormat="false" ht="147" hidden="false" customHeight="false" outlineLevel="0" collapsed="false">
      <c r="A106" s="4" t="s">
        <v>444</v>
      </c>
      <c r="B106" s="5" t="s">
        <v>166</v>
      </c>
      <c r="C106" s="4" t="s">
        <v>51</v>
      </c>
      <c r="D106" s="4" t="n">
        <v>485</v>
      </c>
      <c r="E106" s="11" t="s">
        <v>24</v>
      </c>
      <c r="F106" s="9" t="s">
        <v>114</v>
      </c>
      <c r="G106" s="4" t="s">
        <v>101</v>
      </c>
      <c r="H106" s="4" t="n">
        <v>6</v>
      </c>
      <c r="I106" s="5" t="s">
        <v>445</v>
      </c>
      <c r="J106" s="5" t="s">
        <v>446</v>
      </c>
      <c r="K106" s="5" t="s">
        <v>447</v>
      </c>
      <c r="L106" s="16" t="n">
        <v>0.78</v>
      </c>
    </row>
  </sheetData>
  <autoFilter ref="A1:L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9"/>
    <col collapsed="false" customWidth="true" hidden="false" outlineLevel="0" max="4" min="4" style="0" width="12"/>
    <col collapsed="false" customWidth="true" hidden="false" outlineLevel="0" max="5" min="5" style="0" width="10"/>
    <col collapsed="false" customWidth="true" hidden="false" outlineLevel="0" max="6" min="6" style="0" width="11"/>
    <col collapsed="false" customWidth="true" hidden="false" outlineLevel="0" max="7" min="7" style="0" width="9"/>
    <col collapsed="false" customWidth="true" hidden="false" outlineLevel="0" max="9" min="8" style="0" width="70"/>
  </cols>
  <sheetData>
    <row r="1" customFormat="false" ht="15" hidden="false" customHeight="false" outlineLevel="0" collapsed="false">
      <c r="A1" s="18" t="s">
        <v>448</v>
      </c>
    </row>
    <row r="2" customFormat="false" ht="15" hidden="false" customHeight="false" outlineLevel="0" collapsed="false">
      <c r="A2" s="6" t="s">
        <v>449</v>
      </c>
    </row>
    <row r="4" customFormat="false" ht="30" hidden="false" customHeight="true" outlineLevel="0" collapsed="false">
      <c r="A4" s="3" t="s">
        <v>2</v>
      </c>
      <c r="B4" s="3" t="s">
        <v>84</v>
      </c>
      <c r="C4" s="3" t="s">
        <v>86</v>
      </c>
      <c r="D4" s="3" t="s">
        <v>88</v>
      </c>
      <c r="E4" s="3" t="s">
        <v>89</v>
      </c>
      <c r="F4" s="3" t="s">
        <v>90</v>
      </c>
      <c r="G4" s="3" t="s">
        <v>87</v>
      </c>
      <c r="H4" s="3" t="s">
        <v>92</v>
      </c>
      <c r="I4" s="3" t="s">
        <v>93</v>
      </c>
    </row>
    <row r="5" customFormat="false" ht="113.4" hidden="false" customHeight="false" outlineLevel="0" collapsed="false">
      <c r="A5" s="4" t="n">
        <v>1</v>
      </c>
      <c r="B5" s="4" t="s">
        <v>391</v>
      </c>
      <c r="C5" s="4" t="s">
        <v>47</v>
      </c>
      <c r="D5" s="11" t="s">
        <v>24</v>
      </c>
      <c r="E5" s="9" t="s">
        <v>114</v>
      </c>
      <c r="F5" s="17" t="s">
        <v>101</v>
      </c>
      <c r="G5" s="4" t="n">
        <v>2927</v>
      </c>
      <c r="H5" s="5" t="s">
        <v>394</v>
      </c>
      <c r="I5" s="5" t="s">
        <v>395</v>
      </c>
    </row>
    <row r="6" customFormat="false" ht="147" hidden="false" customHeight="false" outlineLevel="0" collapsed="false">
      <c r="A6" s="4" t="n">
        <v>2</v>
      </c>
      <c r="B6" s="4" t="s">
        <v>157</v>
      </c>
      <c r="C6" s="4" t="s">
        <v>32</v>
      </c>
      <c r="D6" s="11" t="s">
        <v>24</v>
      </c>
      <c r="E6" s="9" t="s">
        <v>114</v>
      </c>
      <c r="F6" s="17" t="s">
        <v>101</v>
      </c>
      <c r="G6" s="4" t="n">
        <v>2888</v>
      </c>
      <c r="H6" s="5" t="s">
        <v>160</v>
      </c>
      <c r="I6" s="5" t="s">
        <v>161</v>
      </c>
    </row>
    <row r="7" customFormat="false" ht="91" hidden="false" customHeight="false" outlineLevel="0" collapsed="false">
      <c r="A7" s="4" t="n">
        <v>3</v>
      </c>
      <c r="B7" s="4" t="s">
        <v>299</v>
      </c>
      <c r="C7" s="4" t="s">
        <v>42</v>
      </c>
      <c r="D7" s="11" t="s">
        <v>24</v>
      </c>
      <c r="E7" s="9" t="s">
        <v>114</v>
      </c>
      <c r="F7" s="17" t="s">
        <v>101</v>
      </c>
      <c r="G7" s="4" t="n">
        <v>2299</v>
      </c>
      <c r="H7" s="5" t="s">
        <v>302</v>
      </c>
      <c r="I7" s="5" t="s">
        <v>303</v>
      </c>
    </row>
    <row r="8" customFormat="false" ht="102.2" hidden="false" customHeight="false" outlineLevel="0" collapsed="false">
      <c r="A8" s="4" t="n">
        <v>4</v>
      </c>
      <c r="B8" s="4" t="s">
        <v>190</v>
      </c>
      <c r="C8" s="4" t="s">
        <v>37</v>
      </c>
      <c r="D8" s="11" t="s">
        <v>24</v>
      </c>
      <c r="E8" s="9" t="s">
        <v>114</v>
      </c>
      <c r="F8" s="17" t="s">
        <v>101</v>
      </c>
      <c r="G8" s="4" t="n">
        <v>2236</v>
      </c>
      <c r="H8" s="5" t="s">
        <v>193</v>
      </c>
      <c r="I8" s="5" t="s">
        <v>194</v>
      </c>
    </row>
    <row r="9" customFormat="false" ht="102.2" hidden="false" customHeight="false" outlineLevel="0" collapsed="false">
      <c r="A9" s="4" t="n">
        <v>5</v>
      </c>
      <c r="B9" s="4" t="s">
        <v>147</v>
      </c>
      <c r="C9" s="4" t="s">
        <v>32</v>
      </c>
      <c r="D9" s="11" t="s">
        <v>24</v>
      </c>
      <c r="E9" s="9" t="s">
        <v>114</v>
      </c>
      <c r="F9" s="17" t="s">
        <v>101</v>
      </c>
      <c r="G9" s="4" t="n">
        <v>2137</v>
      </c>
      <c r="H9" s="5" t="s">
        <v>150</v>
      </c>
      <c r="I9" s="5" t="s">
        <v>151</v>
      </c>
    </row>
    <row r="10" customFormat="false" ht="102.2" hidden="false" customHeight="false" outlineLevel="0" collapsed="false">
      <c r="A10" s="4" t="n">
        <v>6</v>
      </c>
      <c r="B10" s="4" t="s">
        <v>130</v>
      </c>
      <c r="C10" s="4" t="s">
        <v>32</v>
      </c>
      <c r="D10" s="11" t="s">
        <v>24</v>
      </c>
      <c r="E10" s="9" t="s">
        <v>114</v>
      </c>
      <c r="F10" s="17" t="s">
        <v>101</v>
      </c>
      <c r="G10" s="4" t="n">
        <v>1749</v>
      </c>
      <c r="H10" s="5" t="s">
        <v>133</v>
      </c>
      <c r="I10" s="5" t="s">
        <v>134</v>
      </c>
    </row>
    <row r="11" customFormat="false" ht="91" hidden="false" customHeight="false" outlineLevel="0" collapsed="false">
      <c r="A11" s="4" t="n">
        <v>7</v>
      </c>
      <c r="B11" s="4" t="s">
        <v>386</v>
      </c>
      <c r="C11" s="4" t="s">
        <v>47</v>
      </c>
      <c r="D11" s="11" t="s">
        <v>24</v>
      </c>
      <c r="E11" s="9" t="s">
        <v>114</v>
      </c>
      <c r="F11" s="17" t="s">
        <v>101</v>
      </c>
      <c r="G11" s="4" t="n">
        <v>1400</v>
      </c>
      <c r="H11" s="5" t="s">
        <v>389</v>
      </c>
      <c r="I11" s="5" t="s">
        <v>390</v>
      </c>
    </row>
    <row r="12" customFormat="false" ht="57.45" hidden="false" customHeight="false" outlineLevel="0" collapsed="false">
      <c r="A12" s="4" t="n">
        <v>8</v>
      </c>
      <c r="B12" s="4" t="s">
        <v>288</v>
      </c>
      <c r="C12" s="4" t="s">
        <v>42</v>
      </c>
      <c r="D12" s="11" t="s">
        <v>24</v>
      </c>
      <c r="E12" s="9" t="s">
        <v>114</v>
      </c>
      <c r="F12" s="17" t="s">
        <v>101</v>
      </c>
      <c r="G12" s="4" t="n">
        <v>1321</v>
      </c>
      <c r="H12" s="5" t="s">
        <v>291</v>
      </c>
      <c r="I12" s="5" t="s">
        <v>292</v>
      </c>
    </row>
    <row r="13" customFormat="false" ht="79.85" hidden="false" customHeight="false" outlineLevel="0" collapsed="false">
      <c r="A13" s="4" t="n">
        <v>9</v>
      </c>
      <c r="B13" s="4" t="s">
        <v>354</v>
      </c>
      <c r="C13" s="4" t="s">
        <v>47</v>
      </c>
      <c r="D13" s="11" t="s">
        <v>24</v>
      </c>
      <c r="E13" s="9" t="s">
        <v>114</v>
      </c>
      <c r="F13" s="17" t="s">
        <v>101</v>
      </c>
      <c r="G13" s="4" t="n">
        <v>1018</v>
      </c>
      <c r="H13" s="5" t="s">
        <v>357</v>
      </c>
      <c r="I13" s="5" t="s">
        <v>358</v>
      </c>
    </row>
    <row r="14" customFormat="false" ht="68.65" hidden="false" customHeight="false" outlineLevel="0" collapsed="false">
      <c r="A14" s="4" t="n">
        <v>10</v>
      </c>
      <c r="B14" s="4" t="s">
        <v>307</v>
      </c>
      <c r="C14" s="4" t="s">
        <v>42</v>
      </c>
      <c r="D14" s="11" t="s">
        <v>24</v>
      </c>
      <c r="E14" s="9" t="s">
        <v>114</v>
      </c>
      <c r="F14" s="17" t="s">
        <v>101</v>
      </c>
      <c r="G14" s="4" t="n">
        <v>1014</v>
      </c>
      <c r="H14" s="5" t="s">
        <v>310</v>
      </c>
      <c r="I14" s="5" t="s">
        <v>311</v>
      </c>
    </row>
    <row r="15" customFormat="false" ht="91" hidden="false" customHeight="false" outlineLevel="0" collapsed="false">
      <c r="A15" s="4" t="n">
        <v>11</v>
      </c>
      <c r="B15" s="4" t="s">
        <v>381</v>
      </c>
      <c r="C15" s="4" t="s">
        <v>47</v>
      </c>
      <c r="D15" s="11" t="s">
        <v>24</v>
      </c>
      <c r="E15" s="9" t="s">
        <v>114</v>
      </c>
      <c r="F15" s="17" t="s">
        <v>101</v>
      </c>
      <c r="G15" s="4" t="n">
        <v>976</v>
      </c>
      <c r="H15" s="5" t="s">
        <v>384</v>
      </c>
      <c r="I15" s="5" t="s">
        <v>385</v>
      </c>
    </row>
    <row r="16" customFormat="false" ht="102.2" hidden="false" customHeight="false" outlineLevel="0" collapsed="false">
      <c r="A16" s="4" t="n">
        <v>12</v>
      </c>
      <c r="B16" s="4" t="s">
        <v>152</v>
      </c>
      <c r="C16" s="4" t="s">
        <v>32</v>
      </c>
      <c r="D16" s="11" t="s">
        <v>24</v>
      </c>
      <c r="E16" s="9" t="s">
        <v>114</v>
      </c>
      <c r="F16" s="17" t="s">
        <v>101</v>
      </c>
      <c r="G16" s="4" t="n">
        <v>876</v>
      </c>
      <c r="H16" s="5" t="s">
        <v>155</v>
      </c>
      <c r="I16" s="5" t="s">
        <v>156</v>
      </c>
    </row>
    <row r="17" customFormat="false" ht="46.25" hidden="false" customHeight="false" outlineLevel="0" collapsed="false">
      <c r="A17" s="4" t="n">
        <v>13</v>
      </c>
      <c r="B17" s="4" t="s">
        <v>312</v>
      </c>
      <c r="C17" s="4" t="s">
        <v>42</v>
      </c>
      <c r="D17" s="11" t="s">
        <v>24</v>
      </c>
      <c r="E17" s="9" t="s">
        <v>114</v>
      </c>
      <c r="F17" s="17" t="s">
        <v>101</v>
      </c>
      <c r="G17" s="4" t="n">
        <v>781</v>
      </c>
      <c r="H17" s="5" t="s">
        <v>315</v>
      </c>
      <c r="I17" s="5" t="s">
        <v>316</v>
      </c>
    </row>
    <row r="18" customFormat="false" ht="79.85" hidden="false" customHeight="false" outlineLevel="0" collapsed="false">
      <c r="A18" s="4" t="n">
        <v>14</v>
      </c>
      <c r="B18" s="4" t="s">
        <v>333</v>
      </c>
      <c r="C18" s="4" t="s">
        <v>42</v>
      </c>
      <c r="D18" s="11" t="s">
        <v>24</v>
      </c>
      <c r="E18" s="9" t="s">
        <v>114</v>
      </c>
      <c r="F18" s="17" t="s">
        <v>101</v>
      </c>
      <c r="G18" s="4" t="n">
        <v>639</v>
      </c>
      <c r="H18" s="5" t="s">
        <v>335</v>
      </c>
      <c r="I18" s="5" t="s">
        <v>336</v>
      </c>
    </row>
    <row r="19" customFormat="false" ht="79.85" hidden="false" customHeight="false" outlineLevel="0" collapsed="false">
      <c r="A19" s="4" t="n">
        <v>15</v>
      </c>
      <c r="B19" s="4" t="s">
        <v>239</v>
      </c>
      <c r="C19" s="4" t="s">
        <v>37</v>
      </c>
      <c r="D19" s="11" t="s">
        <v>24</v>
      </c>
      <c r="E19" s="9" t="s">
        <v>114</v>
      </c>
      <c r="F19" s="17" t="s">
        <v>101</v>
      </c>
      <c r="G19" s="4" t="n">
        <v>625</v>
      </c>
      <c r="H19" s="5" t="s">
        <v>241</v>
      </c>
      <c r="I19" s="5" t="s">
        <v>242</v>
      </c>
    </row>
    <row r="20" customFormat="false" ht="91" hidden="false" customHeight="false" outlineLevel="0" collapsed="false">
      <c r="A20" s="4" t="n">
        <v>16</v>
      </c>
      <c r="B20" s="4" t="s">
        <v>407</v>
      </c>
      <c r="C20" s="4" t="s">
        <v>51</v>
      </c>
      <c r="D20" s="11" t="s">
        <v>24</v>
      </c>
      <c r="E20" s="9" t="s">
        <v>114</v>
      </c>
      <c r="F20" s="17" t="s">
        <v>101</v>
      </c>
      <c r="G20" s="4" t="n">
        <v>496</v>
      </c>
      <c r="H20" s="5" t="s">
        <v>410</v>
      </c>
      <c r="I20" s="5" t="s">
        <v>411</v>
      </c>
    </row>
    <row r="21" customFormat="false" ht="124.6" hidden="false" customHeight="false" outlineLevel="0" collapsed="false">
      <c r="A21" s="4" t="n">
        <v>17</v>
      </c>
      <c r="B21" s="4" t="s">
        <v>444</v>
      </c>
      <c r="C21" s="4" t="s">
        <v>51</v>
      </c>
      <c r="D21" s="11" t="s">
        <v>24</v>
      </c>
      <c r="E21" s="9" t="s">
        <v>114</v>
      </c>
      <c r="F21" s="17" t="s">
        <v>101</v>
      </c>
      <c r="G21" s="4" t="n">
        <v>485</v>
      </c>
      <c r="H21" s="5" t="s">
        <v>446</v>
      </c>
      <c r="I21" s="5" t="s">
        <v>447</v>
      </c>
    </row>
    <row r="22" customFormat="false" ht="68.65" hidden="false" customHeight="false" outlineLevel="0" collapsed="false">
      <c r="A22" s="4" t="n">
        <v>18</v>
      </c>
      <c r="B22" s="4" t="s">
        <v>376</v>
      </c>
      <c r="C22" s="4" t="s">
        <v>47</v>
      </c>
      <c r="D22" s="11" t="s">
        <v>24</v>
      </c>
      <c r="E22" s="9" t="s">
        <v>114</v>
      </c>
      <c r="F22" s="17" t="s">
        <v>101</v>
      </c>
      <c r="G22" s="4" t="n">
        <v>395</v>
      </c>
      <c r="H22" s="5" t="s">
        <v>379</v>
      </c>
      <c r="I22" s="5" t="s">
        <v>380</v>
      </c>
    </row>
    <row r="23" customFormat="false" ht="46.25" hidden="false" customHeight="false" outlineLevel="0" collapsed="false">
      <c r="A23" s="4" t="n">
        <v>19</v>
      </c>
      <c r="B23" s="4" t="s">
        <v>245</v>
      </c>
      <c r="C23" s="4" t="s">
        <v>42</v>
      </c>
      <c r="D23" s="11" t="s">
        <v>24</v>
      </c>
      <c r="E23" s="9" t="s">
        <v>114</v>
      </c>
      <c r="F23" s="17" t="s">
        <v>101</v>
      </c>
      <c r="G23" s="4" t="n">
        <v>339</v>
      </c>
      <c r="H23" s="5" t="s">
        <v>248</v>
      </c>
      <c r="I23" s="5" t="s">
        <v>249</v>
      </c>
    </row>
    <row r="24" customFormat="false" ht="57.45" hidden="false" customHeight="false" outlineLevel="0" collapsed="false">
      <c r="A24" s="4" t="n">
        <v>20</v>
      </c>
      <c r="B24" s="4" t="s">
        <v>261</v>
      </c>
      <c r="C24" s="4" t="s">
        <v>42</v>
      </c>
      <c r="D24" s="11" t="s">
        <v>24</v>
      </c>
      <c r="E24" s="9" t="s">
        <v>114</v>
      </c>
      <c r="F24" s="17" t="s">
        <v>101</v>
      </c>
      <c r="G24" s="4" t="n">
        <v>200</v>
      </c>
      <c r="H24" s="5" t="s">
        <v>264</v>
      </c>
      <c r="I24" s="5" t="s">
        <v>265</v>
      </c>
    </row>
    <row r="25" customFormat="false" ht="57.45" hidden="false" customHeight="false" outlineLevel="0" collapsed="false">
      <c r="A25" s="4" t="n">
        <v>21</v>
      </c>
      <c r="B25" s="4" t="s">
        <v>345</v>
      </c>
      <c r="C25" s="4" t="s">
        <v>47</v>
      </c>
      <c r="D25" s="11" t="s">
        <v>24</v>
      </c>
      <c r="E25" s="9" t="s">
        <v>114</v>
      </c>
      <c r="F25" s="11" t="s">
        <v>97</v>
      </c>
      <c r="G25" s="4" t="n">
        <v>914</v>
      </c>
      <c r="H25" s="5" t="s">
        <v>348</v>
      </c>
      <c r="I25" s="5" t="s">
        <v>349</v>
      </c>
    </row>
    <row r="26" customFormat="false" ht="46.25" hidden="false" customHeight="false" outlineLevel="0" collapsed="false">
      <c r="A26" s="4" t="n">
        <v>22</v>
      </c>
      <c r="B26" s="4" t="s">
        <v>278</v>
      </c>
      <c r="C26" s="4" t="s">
        <v>42</v>
      </c>
      <c r="D26" s="11" t="s">
        <v>24</v>
      </c>
      <c r="E26" s="9" t="s">
        <v>114</v>
      </c>
      <c r="F26" s="11" t="s">
        <v>97</v>
      </c>
      <c r="G26" s="4" t="n">
        <v>409</v>
      </c>
      <c r="H26" s="5" t="s">
        <v>280</v>
      </c>
      <c r="I26" s="5" t="s">
        <v>281</v>
      </c>
    </row>
    <row r="27" customFormat="false" ht="91" hidden="false" customHeight="false" outlineLevel="0" collapsed="false">
      <c r="A27" s="4" t="n">
        <v>23</v>
      </c>
      <c r="B27" s="4" t="s">
        <v>368</v>
      </c>
      <c r="C27" s="4" t="s">
        <v>47</v>
      </c>
      <c r="D27" s="11" t="s">
        <v>24</v>
      </c>
      <c r="E27" s="9" t="s">
        <v>114</v>
      </c>
      <c r="F27" s="11" t="s">
        <v>97</v>
      </c>
      <c r="G27" s="4" t="n">
        <v>236</v>
      </c>
      <c r="H27" s="5" t="s">
        <v>371</v>
      </c>
      <c r="I27" s="5" t="s">
        <v>372</v>
      </c>
    </row>
    <row r="28" customFormat="false" ht="35.05" hidden="false" customHeight="false" outlineLevel="0" collapsed="false">
      <c r="A28" s="4" t="n">
        <v>24</v>
      </c>
      <c r="B28" s="4" t="s">
        <v>112</v>
      </c>
      <c r="C28" s="4" t="s">
        <v>32</v>
      </c>
      <c r="D28" s="11" t="s">
        <v>24</v>
      </c>
      <c r="E28" s="9" t="s">
        <v>114</v>
      </c>
      <c r="F28" s="15" t="s">
        <v>115</v>
      </c>
      <c r="G28" s="4" t="n">
        <v>173</v>
      </c>
      <c r="H28" s="5" t="s">
        <v>117</v>
      </c>
      <c r="I28" s="5" t="s">
        <v>118</v>
      </c>
    </row>
  </sheetData>
  <autoFilter ref="A4:I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4" min="3" style="0" width="9"/>
    <col collapsed="false" customWidth="true" hidden="false" outlineLevel="0" max="5" min="5" style="0" width="34"/>
    <col collapsed="false" customWidth="true" hidden="false" outlineLevel="0" max="6" min="6" style="0" width="9"/>
    <col collapsed="false" customWidth="true" hidden="false" outlineLevel="0" max="7" min="7" style="0" width="15"/>
    <col collapsed="false" customWidth="true" hidden="false" outlineLevel="0" max="8" min="8" style="0" width="28"/>
    <col collapsed="false" customWidth="true" hidden="false" outlineLevel="0" max="9" min="9" style="0" width="62"/>
    <col collapsed="false" customWidth="true" hidden="false" outlineLevel="0" max="10" min="10" style="0" width="70"/>
  </cols>
  <sheetData>
    <row r="1" customFormat="false" ht="15" hidden="false" customHeight="false" outlineLevel="0" collapsed="false">
      <c r="A1" s="18" t="s">
        <v>450</v>
      </c>
    </row>
    <row r="2" customFormat="false" ht="15" hidden="false" customHeight="false" outlineLevel="0" collapsed="false">
      <c r="A2" s="6" t="s">
        <v>451</v>
      </c>
    </row>
    <row r="4" customFormat="false" ht="30" hidden="false" customHeight="true" outlineLevel="0" collapsed="false">
      <c r="A4" s="3" t="s">
        <v>452</v>
      </c>
      <c r="B4" s="3" t="s">
        <v>453</v>
      </c>
      <c r="C4" s="3" t="s">
        <v>86</v>
      </c>
      <c r="D4" s="3" t="s">
        <v>84</v>
      </c>
      <c r="E4" s="3" t="s">
        <v>454</v>
      </c>
      <c r="F4" s="3" t="s">
        <v>455</v>
      </c>
      <c r="G4" s="3" t="s">
        <v>456</v>
      </c>
      <c r="H4" s="3" t="s">
        <v>57</v>
      </c>
      <c r="I4" s="3" t="s">
        <v>457</v>
      </c>
      <c r="J4" s="3" t="s">
        <v>458</v>
      </c>
    </row>
    <row r="5" customFormat="false" ht="35.05" hidden="false" customHeight="false" outlineLevel="0" collapsed="false">
      <c r="A5" s="4" t="n">
        <v>1</v>
      </c>
      <c r="B5" s="4" t="s">
        <v>459</v>
      </c>
      <c r="C5" s="4" t="s">
        <v>32</v>
      </c>
      <c r="D5" s="4" t="s">
        <v>99</v>
      </c>
      <c r="E5" s="5" t="s">
        <v>460</v>
      </c>
      <c r="F5" s="4"/>
      <c r="G5" s="9" t="s">
        <v>78</v>
      </c>
      <c r="H5" s="5" t="s">
        <v>461</v>
      </c>
      <c r="I5" s="5"/>
      <c r="J5" s="5" t="s">
        <v>462</v>
      </c>
    </row>
    <row r="6" customFormat="false" ht="68.65" hidden="false" customHeight="false" outlineLevel="0" collapsed="false">
      <c r="A6" s="4" t="n">
        <v>2</v>
      </c>
      <c r="B6" s="4" t="s">
        <v>463</v>
      </c>
      <c r="C6" s="4" t="s">
        <v>32</v>
      </c>
      <c r="D6" s="4" t="s">
        <v>95</v>
      </c>
      <c r="E6" s="5" t="s">
        <v>464</v>
      </c>
      <c r="F6" s="4"/>
      <c r="G6" s="9" t="s">
        <v>78</v>
      </c>
      <c r="H6" s="5" t="s">
        <v>465</v>
      </c>
      <c r="I6" s="5"/>
      <c r="J6" s="5" t="s">
        <v>466</v>
      </c>
    </row>
    <row r="7" customFormat="false" ht="68.65" hidden="false" customHeight="false" outlineLevel="0" collapsed="false">
      <c r="A7" s="4" t="n">
        <v>3</v>
      </c>
      <c r="B7" s="4" t="s">
        <v>459</v>
      </c>
      <c r="C7" s="4" t="s">
        <v>32</v>
      </c>
      <c r="D7" s="4" t="s">
        <v>95</v>
      </c>
      <c r="E7" s="5" t="s">
        <v>467</v>
      </c>
      <c r="F7" s="4"/>
      <c r="G7" s="9" t="s">
        <v>78</v>
      </c>
      <c r="H7" s="5" t="s">
        <v>468</v>
      </c>
      <c r="I7" s="5"/>
      <c r="J7" s="5" t="s">
        <v>469</v>
      </c>
    </row>
    <row r="8" customFormat="false" ht="57.45" hidden="false" customHeight="false" outlineLevel="0" collapsed="false">
      <c r="A8" s="4" t="n">
        <v>4</v>
      </c>
      <c r="B8" s="4" t="s">
        <v>459</v>
      </c>
      <c r="C8" s="4" t="s">
        <v>32</v>
      </c>
      <c r="D8" s="4" t="s">
        <v>109</v>
      </c>
      <c r="E8" s="5" t="s">
        <v>470</v>
      </c>
      <c r="F8" s="4"/>
      <c r="G8" s="9" t="s">
        <v>78</v>
      </c>
      <c r="H8" s="5" t="s">
        <v>471</v>
      </c>
      <c r="I8" s="5"/>
      <c r="J8" s="5" t="s">
        <v>472</v>
      </c>
    </row>
    <row r="9" customFormat="false" ht="68.65" hidden="false" customHeight="false" outlineLevel="0" collapsed="false">
      <c r="A9" s="4" t="n">
        <v>5</v>
      </c>
      <c r="B9" s="4" t="s">
        <v>473</v>
      </c>
      <c r="C9" s="4" t="s">
        <v>32</v>
      </c>
      <c r="D9" s="4" t="s">
        <v>138</v>
      </c>
      <c r="E9" s="5" t="s">
        <v>474</v>
      </c>
      <c r="F9" s="4"/>
      <c r="G9" s="9" t="s">
        <v>78</v>
      </c>
      <c r="H9" s="5" t="s">
        <v>475</v>
      </c>
      <c r="I9" s="5"/>
      <c r="J9" s="5" t="s">
        <v>476</v>
      </c>
    </row>
    <row r="10" customFormat="false" ht="68.65" hidden="false" customHeight="false" outlineLevel="0" collapsed="false">
      <c r="A10" s="4" t="n">
        <v>6</v>
      </c>
      <c r="B10" s="4" t="s">
        <v>463</v>
      </c>
      <c r="C10" s="4" t="s">
        <v>32</v>
      </c>
      <c r="D10" s="4" t="s">
        <v>147</v>
      </c>
      <c r="E10" s="5" t="s">
        <v>477</v>
      </c>
      <c r="F10" s="4"/>
      <c r="G10" s="9" t="s">
        <v>78</v>
      </c>
      <c r="H10" s="5" t="s">
        <v>478</v>
      </c>
      <c r="I10" s="5"/>
      <c r="J10" s="5" t="s">
        <v>479</v>
      </c>
    </row>
    <row r="11" customFormat="false" ht="79.85" hidden="false" customHeight="false" outlineLevel="0" collapsed="false">
      <c r="A11" s="4" t="n">
        <v>7</v>
      </c>
      <c r="B11" s="4" t="s">
        <v>463</v>
      </c>
      <c r="C11" s="4" t="s">
        <v>32</v>
      </c>
      <c r="D11" s="4" t="s">
        <v>480</v>
      </c>
      <c r="E11" s="5" t="s">
        <v>481</v>
      </c>
      <c r="F11" s="4"/>
      <c r="G11" s="9" t="s">
        <v>78</v>
      </c>
      <c r="H11" s="5" t="s">
        <v>482</v>
      </c>
      <c r="I11" s="5"/>
      <c r="J11" s="5" t="s">
        <v>483</v>
      </c>
    </row>
    <row r="12" customFormat="false" ht="23.85" hidden="false" customHeight="false" outlineLevel="0" collapsed="false">
      <c r="A12" s="4" t="n">
        <v>8</v>
      </c>
      <c r="B12" s="4" t="s">
        <v>459</v>
      </c>
      <c r="C12" s="4" t="s">
        <v>32</v>
      </c>
      <c r="D12" s="4" t="s">
        <v>484</v>
      </c>
      <c r="E12" s="5" t="s">
        <v>485</v>
      </c>
      <c r="F12" s="4"/>
      <c r="G12" s="9" t="s">
        <v>78</v>
      </c>
      <c r="H12" s="5" t="s">
        <v>486</v>
      </c>
      <c r="I12" s="5"/>
      <c r="J12" s="5" t="s">
        <v>487</v>
      </c>
    </row>
    <row r="13" customFormat="false" ht="68.65" hidden="false" customHeight="false" outlineLevel="0" collapsed="false">
      <c r="A13" s="4" t="n">
        <v>9</v>
      </c>
      <c r="B13" s="4" t="s">
        <v>473</v>
      </c>
      <c r="C13" s="4" t="s">
        <v>32</v>
      </c>
      <c r="D13" s="4" t="s">
        <v>157</v>
      </c>
      <c r="E13" s="5" t="s">
        <v>488</v>
      </c>
      <c r="F13" s="4"/>
      <c r="G13" s="9" t="s">
        <v>78</v>
      </c>
      <c r="H13" s="5" t="s">
        <v>489</v>
      </c>
      <c r="I13" s="5"/>
      <c r="J13" s="5" t="s">
        <v>490</v>
      </c>
    </row>
    <row r="14" customFormat="false" ht="79.85" hidden="false" customHeight="false" outlineLevel="0" collapsed="false">
      <c r="A14" s="4" t="n">
        <v>10</v>
      </c>
      <c r="B14" s="4" t="s">
        <v>459</v>
      </c>
      <c r="C14" s="4" t="s">
        <v>32</v>
      </c>
      <c r="D14" s="4" t="s">
        <v>491</v>
      </c>
      <c r="E14" s="5" t="s">
        <v>492</v>
      </c>
      <c r="F14" s="4"/>
      <c r="G14" s="9" t="s">
        <v>78</v>
      </c>
      <c r="H14" s="5" t="s">
        <v>493</v>
      </c>
      <c r="I14" s="5"/>
      <c r="J14" s="5" t="s">
        <v>494</v>
      </c>
    </row>
    <row r="15" customFormat="false" ht="68.65" hidden="false" customHeight="false" outlineLevel="0" collapsed="false">
      <c r="A15" s="4" t="n">
        <v>11</v>
      </c>
      <c r="B15" s="4" t="s">
        <v>463</v>
      </c>
      <c r="C15" s="4" t="s">
        <v>32</v>
      </c>
      <c r="D15" s="4" t="s">
        <v>495</v>
      </c>
      <c r="E15" s="5" t="s">
        <v>496</v>
      </c>
      <c r="F15" s="4"/>
      <c r="G15" s="11" t="s">
        <v>80</v>
      </c>
      <c r="H15" s="5" t="s">
        <v>497</v>
      </c>
      <c r="I15" s="5" t="s">
        <v>498</v>
      </c>
      <c r="J15" s="5" t="s">
        <v>499</v>
      </c>
    </row>
    <row r="16" customFormat="false" ht="91" hidden="false" customHeight="false" outlineLevel="0" collapsed="false">
      <c r="A16" s="4" t="n">
        <v>12</v>
      </c>
      <c r="B16" s="4" t="s">
        <v>459</v>
      </c>
      <c r="C16" s="4" t="s">
        <v>32</v>
      </c>
      <c r="D16" s="4" t="s">
        <v>495</v>
      </c>
      <c r="E16" s="5" t="s">
        <v>500</v>
      </c>
      <c r="F16" s="4"/>
      <c r="G16" s="9" t="s">
        <v>78</v>
      </c>
      <c r="H16" s="5" t="s">
        <v>501</v>
      </c>
      <c r="I16" s="5"/>
      <c r="J16" s="5" t="s">
        <v>502</v>
      </c>
    </row>
    <row r="17" customFormat="false" ht="91" hidden="false" customHeight="false" outlineLevel="0" collapsed="false">
      <c r="A17" s="4" t="n">
        <v>13</v>
      </c>
      <c r="B17" s="4" t="s">
        <v>473</v>
      </c>
      <c r="C17" s="4" t="s">
        <v>32</v>
      </c>
      <c r="D17" s="4" t="s">
        <v>503</v>
      </c>
      <c r="E17" s="5" t="s">
        <v>504</v>
      </c>
      <c r="F17" s="4"/>
      <c r="G17" s="9" t="s">
        <v>78</v>
      </c>
      <c r="H17" s="5" t="s">
        <v>505</v>
      </c>
      <c r="I17" s="5"/>
      <c r="J17" s="5" t="s">
        <v>506</v>
      </c>
    </row>
    <row r="18" customFormat="false" ht="91" hidden="false" customHeight="false" outlineLevel="0" collapsed="false">
      <c r="A18" s="4" t="n">
        <v>14</v>
      </c>
      <c r="B18" s="4" t="s">
        <v>473</v>
      </c>
      <c r="C18" s="4" t="s">
        <v>32</v>
      </c>
      <c r="D18" s="4" t="s">
        <v>507</v>
      </c>
      <c r="E18" s="5" t="s">
        <v>508</v>
      </c>
      <c r="F18" s="4" t="s">
        <v>509</v>
      </c>
      <c r="G18" s="9" t="s">
        <v>78</v>
      </c>
      <c r="H18" s="5" t="s">
        <v>510</v>
      </c>
      <c r="I18" s="5"/>
      <c r="J18" s="5" t="s">
        <v>511</v>
      </c>
    </row>
    <row r="19" customFormat="false" ht="68.65" hidden="false" customHeight="false" outlineLevel="0" collapsed="false">
      <c r="A19" s="4" t="n">
        <v>15</v>
      </c>
      <c r="B19" s="4" t="s">
        <v>459</v>
      </c>
      <c r="C19" s="4" t="s">
        <v>32</v>
      </c>
      <c r="D19" s="4" t="s">
        <v>512</v>
      </c>
      <c r="E19" s="5" t="s">
        <v>513</v>
      </c>
      <c r="F19" s="4" t="s">
        <v>509</v>
      </c>
      <c r="G19" s="9" t="s">
        <v>78</v>
      </c>
      <c r="H19" s="5" t="s">
        <v>514</v>
      </c>
      <c r="I19" s="5"/>
      <c r="J19" s="5" t="s">
        <v>515</v>
      </c>
    </row>
    <row r="20" customFormat="false" ht="79.85" hidden="false" customHeight="false" outlineLevel="0" collapsed="false">
      <c r="A20" s="4" t="n">
        <v>16</v>
      </c>
      <c r="B20" s="4" t="s">
        <v>459</v>
      </c>
      <c r="C20" s="4" t="s">
        <v>32</v>
      </c>
      <c r="D20" s="4" t="s">
        <v>516</v>
      </c>
      <c r="E20" s="5" t="s">
        <v>517</v>
      </c>
      <c r="F20" s="4"/>
      <c r="G20" s="9" t="s">
        <v>78</v>
      </c>
      <c r="H20" s="5" t="s">
        <v>518</v>
      </c>
      <c r="I20" s="5"/>
      <c r="J20" s="5" t="s">
        <v>519</v>
      </c>
    </row>
    <row r="21" customFormat="false" ht="91" hidden="false" customHeight="false" outlineLevel="0" collapsed="false">
      <c r="A21" s="4" t="n">
        <v>17</v>
      </c>
      <c r="B21" s="4" t="s">
        <v>473</v>
      </c>
      <c r="C21" s="4" t="s">
        <v>32</v>
      </c>
      <c r="D21" s="4" t="s">
        <v>520</v>
      </c>
      <c r="E21" s="5" t="s">
        <v>521</v>
      </c>
      <c r="F21" s="4" t="s">
        <v>509</v>
      </c>
      <c r="G21" s="9" t="s">
        <v>78</v>
      </c>
      <c r="H21" s="5" t="s">
        <v>522</v>
      </c>
      <c r="I21" s="5"/>
      <c r="J21" s="5" t="s">
        <v>523</v>
      </c>
    </row>
    <row r="22" customFormat="false" ht="79.85" hidden="false" customHeight="false" outlineLevel="0" collapsed="false">
      <c r="A22" s="4" t="n">
        <v>18</v>
      </c>
      <c r="B22" s="4" t="s">
        <v>463</v>
      </c>
      <c r="C22" s="4" t="s">
        <v>32</v>
      </c>
      <c r="D22" s="4" t="s">
        <v>524</v>
      </c>
      <c r="E22" s="5" t="s">
        <v>525</v>
      </c>
      <c r="F22" s="4" t="s">
        <v>509</v>
      </c>
      <c r="G22" s="9" t="s">
        <v>78</v>
      </c>
      <c r="H22" s="5" t="s">
        <v>526</v>
      </c>
      <c r="I22" s="5"/>
      <c r="J22" s="5" t="s">
        <v>527</v>
      </c>
    </row>
    <row r="23" customFormat="false" ht="57.45" hidden="false" customHeight="false" outlineLevel="0" collapsed="false">
      <c r="A23" s="4" t="n">
        <v>19</v>
      </c>
      <c r="B23" s="4" t="s">
        <v>473</v>
      </c>
      <c r="C23" s="4" t="s">
        <v>37</v>
      </c>
      <c r="D23" s="4" t="s">
        <v>195</v>
      </c>
      <c r="E23" s="5" t="s">
        <v>528</v>
      </c>
      <c r="F23" s="4"/>
      <c r="G23" s="9" t="s">
        <v>78</v>
      </c>
      <c r="H23" s="5" t="s">
        <v>529</v>
      </c>
      <c r="I23" s="5"/>
      <c r="J23" s="5" t="s">
        <v>530</v>
      </c>
    </row>
    <row r="24" customFormat="false" ht="102.2" hidden="false" customHeight="false" outlineLevel="0" collapsed="false">
      <c r="A24" s="4" t="n">
        <v>20</v>
      </c>
      <c r="B24" s="4" t="s">
        <v>463</v>
      </c>
      <c r="C24" s="4" t="s">
        <v>37</v>
      </c>
      <c r="D24" s="4" t="s">
        <v>531</v>
      </c>
      <c r="E24" s="5" t="s">
        <v>532</v>
      </c>
      <c r="F24" s="4"/>
      <c r="G24" s="9" t="s">
        <v>78</v>
      </c>
      <c r="H24" s="5" t="s">
        <v>533</v>
      </c>
      <c r="I24" s="5"/>
      <c r="J24" s="5" t="s">
        <v>534</v>
      </c>
    </row>
    <row r="25" customFormat="false" ht="79.85" hidden="false" customHeight="false" outlineLevel="0" collapsed="false">
      <c r="A25" s="4" t="n">
        <v>21</v>
      </c>
      <c r="B25" s="4" t="s">
        <v>459</v>
      </c>
      <c r="C25" s="4" t="s">
        <v>37</v>
      </c>
      <c r="D25" s="4" t="s">
        <v>184</v>
      </c>
      <c r="E25" s="5" t="s">
        <v>535</v>
      </c>
      <c r="F25" s="4"/>
      <c r="G25" s="9" t="s">
        <v>78</v>
      </c>
      <c r="H25" s="5" t="s">
        <v>536</v>
      </c>
      <c r="I25" s="5"/>
      <c r="J25" s="5" t="s">
        <v>537</v>
      </c>
    </row>
    <row r="26" customFormat="false" ht="68.65" hidden="false" customHeight="false" outlineLevel="0" collapsed="false">
      <c r="A26" s="4" t="n">
        <v>22</v>
      </c>
      <c r="B26" s="4" t="s">
        <v>473</v>
      </c>
      <c r="C26" s="4" t="s">
        <v>37</v>
      </c>
      <c r="D26" s="4" t="s">
        <v>204</v>
      </c>
      <c r="E26" s="5" t="s">
        <v>538</v>
      </c>
      <c r="F26" s="4" t="s">
        <v>509</v>
      </c>
      <c r="G26" s="9" t="s">
        <v>78</v>
      </c>
      <c r="H26" s="5" t="s">
        <v>539</v>
      </c>
      <c r="I26" s="5"/>
      <c r="J26" s="5" t="s">
        <v>540</v>
      </c>
    </row>
    <row r="27" customFormat="false" ht="79.85" hidden="false" customHeight="false" outlineLevel="0" collapsed="false">
      <c r="A27" s="4" t="n">
        <v>23</v>
      </c>
      <c r="B27" s="4" t="s">
        <v>459</v>
      </c>
      <c r="C27" s="4" t="s">
        <v>37</v>
      </c>
      <c r="D27" s="4" t="s">
        <v>213</v>
      </c>
      <c r="E27" s="5" t="s">
        <v>541</v>
      </c>
      <c r="F27" s="4" t="s">
        <v>509</v>
      </c>
      <c r="G27" s="9" t="s">
        <v>78</v>
      </c>
      <c r="H27" s="5" t="s">
        <v>542</v>
      </c>
      <c r="I27" s="5"/>
      <c r="J27" s="5" t="s">
        <v>543</v>
      </c>
    </row>
    <row r="28" customFormat="false" ht="79.85" hidden="false" customHeight="false" outlineLevel="0" collapsed="false">
      <c r="A28" s="4" t="n">
        <v>24</v>
      </c>
      <c r="B28" s="4" t="s">
        <v>473</v>
      </c>
      <c r="C28" s="4" t="s">
        <v>37</v>
      </c>
      <c r="D28" s="4" t="s">
        <v>190</v>
      </c>
      <c r="E28" s="5" t="s">
        <v>544</v>
      </c>
      <c r="F28" s="4" t="s">
        <v>509</v>
      </c>
      <c r="G28" s="9" t="s">
        <v>78</v>
      </c>
      <c r="H28" s="5" t="s">
        <v>545</v>
      </c>
      <c r="I28" s="5"/>
      <c r="J28" s="5" t="s">
        <v>546</v>
      </c>
    </row>
    <row r="29" customFormat="false" ht="46.25" hidden="false" customHeight="false" outlineLevel="0" collapsed="false">
      <c r="A29" s="4" t="n">
        <v>25</v>
      </c>
      <c r="B29" s="4" t="s">
        <v>459</v>
      </c>
      <c r="C29" s="4" t="s">
        <v>37</v>
      </c>
      <c r="D29" s="4" t="s">
        <v>207</v>
      </c>
      <c r="E29" s="5" t="s">
        <v>547</v>
      </c>
      <c r="F29" s="4"/>
      <c r="G29" s="9" t="s">
        <v>78</v>
      </c>
      <c r="H29" s="5" t="s">
        <v>548</v>
      </c>
      <c r="I29" s="5"/>
      <c r="J29" s="5" t="s">
        <v>549</v>
      </c>
    </row>
    <row r="30" customFormat="false" ht="68.65" hidden="false" customHeight="false" outlineLevel="0" collapsed="false">
      <c r="A30" s="4" t="n">
        <v>26</v>
      </c>
      <c r="B30" s="4" t="s">
        <v>463</v>
      </c>
      <c r="C30" s="4" t="s">
        <v>37</v>
      </c>
      <c r="D30" s="4" t="s">
        <v>187</v>
      </c>
      <c r="E30" s="5" t="s">
        <v>550</v>
      </c>
      <c r="F30" s="4"/>
      <c r="G30" s="9" t="s">
        <v>78</v>
      </c>
      <c r="H30" s="5" t="s">
        <v>551</v>
      </c>
      <c r="I30" s="5"/>
      <c r="J30" s="5" t="s">
        <v>552</v>
      </c>
    </row>
    <row r="31" customFormat="false" ht="113.4" hidden="false" customHeight="false" outlineLevel="0" collapsed="false">
      <c r="A31" s="4" t="n">
        <v>27</v>
      </c>
      <c r="B31" s="4" t="s">
        <v>473</v>
      </c>
      <c r="C31" s="4" t="s">
        <v>37</v>
      </c>
      <c r="D31" s="4" t="s">
        <v>181</v>
      </c>
      <c r="E31" s="5" t="s">
        <v>553</v>
      </c>
      <c r="F31" s="4"/>
      <c r="G31" s="9" t="s">
        <v>78</v>
      </c>
      <c r="H31" s="5" t="s">
        <v>554</v>
      </c>
      <c r="I31" s="5"/>
      <c r="J31" s="5" t="s">
        <v>555</v>
      </c>
    </row>
    <row r="32" customFormat="false" ht="102.2" hidden="false" customHeight="false" outlineLevel="0" collapsed="false">
      <c r="A32" s="4" t="n">
        <v>28</v>
      </c>
      <c r="B32" s="4" t="s">
        <v>473</v>
      </c>
      <c r="C32" s="4" t="s">
        <v>37</v>
      </c>
      <c r="D32" s="4" t="s">
        <v>531</v>
      </c>
      <c r="E32" s="5" t="s">
        <v>556</v>
      </c>
      <c r="F32" s="4"/>
      <c r="G32" s="9" t="s">
        <v>78</v>
      </c>
      <c r="H32" s="5" t="s">
        <v>557</v>
      </c>
      <c r="I32" s="5"/>
      <c r="J32" s="5" t="s">
        <v>558</v>
      </c>
    </row>
    <row r="33" customFormat="false" ht="46.25" hidden="false" customHeight="false" outlineLevel="0" collapsed="false">
      <c r="A33" s="4" t="n">
        <v>29</v>
      </c>
      <c r="B33" s="4" t="s">
        <v>463</v>
      </c>
      <c r="C33" s="4" t="s">
        <v>37</v>
      </c>
      <c r="D33" s="4" t="s">
        <v>190</v>
      </c>
      <c r="E33" s="5" t="s">
        <v>559</v>
      </c>
      <c r="F33" s="4" t="s">
        <v>509</v>
      </c>
      <c r="G33" s="9" t="s">
        <v>78</v>
      </c>
      <c r="H33" s="5" t="s">
        <v>560</v>
      </c>
      <c r="I33" s="5"/>
      <c r="J33" s="5" t="s">
        <v>561</v>
      </c>
    </row>
    <row r="34" customFormat="false" ht="113.4" hidden="false" customHeight="false" outlineLevel="0" collapsed="false">
      <c r="A34" s="4" t="n">
        <v>30</v>
      </c>
      <c r="B34" s="4" t="s">
        <v>473</v>
      </c>
      <c r="C34" s="4" t="s">
        <v>37</v>
      </c>
      <c r="D34" s="4" t="s">
        <v>198</v>
      </c>
      <c r="E34" s="5" t="s">
        <v>562</v>
      </c>
      <c r="F34" s="4" t="s">
        <v>509</v>
      </c>
      <c r="G34" s="9" t="s">
        <v>78</v>
      </c>
      <c r="H34" s="5" t="s">
        <v>563</v>
      </c>
      <c r="I34" s="5"/>
      <c r="J34" s="5" t="s">
        <v>564</v>
      </c>
    </row>
    <row r="35" customFormat="false" ht="35.05" hidden="false" customHeight="false" outlineLevel="0" collapsed="false">
      <c r="A35" s="4" t="n">
        <v>31</v>
      </c>
      <c r="B35" s="4" t="s">
        <v>459</v>
      </c>
      <c r="C35" s="4" t="s">
        <v>37</v>
      </c>
      <c r="D35" s="4" t="s">
        <v>565</v>
      </c>
      <c r="E35" s="5" t="s">
        <v>566</v>
      </c>
      <c r="F35" s="4" t="s">
        <v>509</v>
      </c>
      <c r="G35" s="9" t="s">
        <v>78</v>
      </c>
      <c r="H35" s="5" t="s">
        <v>567</v>
      </c>
      <c r="I35" s="5"/>
      <c r="J35" s="5" t="s">
        <v>568</v>
      </c>
    </row>
    <row r="36" customFormat="false" ht="35.05" hidden="false" customHeight="false" outlineLevel="0" collapsed="false">
      <c r="A36" s="4" t="n">
        <v>32</v>
      </c>
      <c r="B36" s="4" t="s">
        <v>463</v>
      </c>
      <c r="C36" s="4" t="s">
        <v>37</v>
      </c>
      <c r="D36" s="4" t="s">
        <v>195</v>
      </c>
      <c r="E36" s="5" t="s">
        <v>569</v>
      </c>
      <c r="F36" s="4"/>
      <c r="G36" s="9" t="s">
        <v>78</v>
      </c>
      <c r="H36" s="5" t="s">
        <v>570</v>
      </c>
      <c r="I36" s="5"/>
      <c r="J36" s="5" t="s">
        <v>571</v>
      </c>
    </row>
    <row r="37" customFormat="false" ht="46.25" hidden="false" customHeight="false" outlineLevel="0" collapsed="false">
      <c r="A37" s="4" t="n">
        <v>33</v>
      </c>
      <c r="B37" s="4" t="s">
        <v>473</v>
      </c>
      <c r="C37" s="4" t="s">
        <v>42</v>
      </c>
      <c r="D37" s="4" t="s">
        <v>258</v>
      </c>
      <c r="E37" s="5" t="s">
        <v>572</v>
      </c>
      <c r="F37" s="4"/>
      <c r="G37" s="9" t="s">
        <v>78</v>
      </c>
      <c r="H37" s="5" t="s">
        <v>573</v>
      </c>
      <c r="I37" s="5"/>
      <c r="J37" s="5" t="s">
        <v>574</v>
      </c>
    </row>
    <row r="38" customFormat="false" ht="46.25" hidden="false" customHeight="false" outlineLevel="0" collapsed="false">
      <c r="A38" s="4" t="n">
        <v>34</v>
      </c>
      <c r="B38" s="4" t="s">
        <v>473</v>
      </c>
      <c r="C38" s="4" t="s">
        <v>37</v>
      </c>
      <c r="D38" s="4" t="s">
        <v>198</v>
      </c>
      <c r="E38" s="5" t="s">
        <v>575</v>
      </c>
      <c r="F38" s="4" t="s">
        <v>509</v>
      </c>
      <c r="G38" s="9" t="s">
        <v>78</v>
      </c>
      <c r="H38" s="5" t="s">
        <v>576</v>
      </c>
      <c r="I38" s="5"/>
      <c r="J38" s="5" t="s">
        <v>577</v>
      </c>
    </row>
    <row r="39" customFormat="false" ht="46.25" hidden="false" customHeight="false" outlineLevel="0" collapsed="false">
      <c r="A39" s="4" t="n">
        <v>35</v>
      </c>
      <c r="B39" s="4" t="s">
        <v>463</v>
      </c>
      <c r="C39" s="4" t="s">
        <v>51</v>
      </c>
      <c r="D39" s="4" t="s">
        <v>430</v>
      </c>
      <c r="E39" s="5" t="s">
        <v>578</v>
      </c>
      <c r="F39" s="4"/>
      <c r="G39" s="9" t="s">
        <v>78</v>
      </c>
      <c r="H39" s="5" t="s">
        <v>579</v>
      </c>
      <c r="I39" s="5"/>
      <c r="J39" s="5" t="s">
        <v>580</v>
      </c>
    </row>
    <row r="40" customFormat="false" ht="46.25" hidden="false" customHeight="false" outlineLevel="0" collapsed="false">
      <c r="A40" s="4" t="n">
        <v>36</v>
      </c>
      <c r="B40" s="4" t="s">
        <v>459</v>
      </c>
      <c r="C40" s="4" t="s">
        <v>51</v>
      </c>
      <c r="D40" s="4" t="s">
        <v>581</v>
      </c>
      <c r="E40" s="5" t="s">
        <v>582</v>
      </c>
      <c r="F40" s="4"/>
      <c r="G40" s="9" t="s">
        <v>78</v>
      </c>
      <c r="H40" s="5" t="s">
        <v>583</v>
      </c>
      <c r="I40" s="5"/>
      <c r="J40" s="5" t="s">
        <v>584</v>
      </c>
    </row>
    <row r="41" customFormat="false" ht="35.05" hidden="false" customHeight="false" outlineLevel="0" collapsed="false">
      <c r="A41" s="4" t="n">
        <v>37</v>
      </c>
      <c r="B41" s="4" t="s">
        <v>473</v>
      </c>
      <c r="C41" s="4" t="s">
        <v>42</v>
      </c>
      <c r="D41" s="4" t="s">
        <v>258</v>
      </c>
      <c r="E41" s="5" t="s">
        <v>585</v>
      </c>
      <c r="F41" s="4"/>
      <c r="G41" s="9" t="s">
        <v>78</v>
      </c>
      <c r="H41" s="5" t="s">
        <v>586</v>
      </c>
      <c r="I41" s="5"/>
      <c r="J41" s="5" t="s">
        <v>587</v>
      </c>
    </row>
    <row r="42" customFormat="false" ht="35.05" hidden="false" customHeight="false" outlineLevel="0" collapsed="false">
      <c r="A42" s="4" t="n">
        <v>38</v>
      </c>
      <c r="B42" s="4" t="s">
        <v>459</v>
      </c>
      <c r="C42" s="4" t="s">
        <v>42</v>
      </c>
      <c r="D42" s="4" t="s">
        <v>258</v>
      </c>
      <c r="E42" s="5" t="s">
        <v>588</v>
      </c>
      <c r="F42" s="4"/>
      <c r="G42" s="9" t="s">
        <v>78</v>
      </c>
      <c r="H42" s="5" t="s">
        <v>589</v>
      </c>
      <c r="I42" s="5"/>
      <c r="J42" s="5" t="s">
        <v>590</v>
      </c>
    </row>
    <row r="43" customFormat="false" ht="23.85" hidden="false" customHeight="false" outlineLevel="0" collapsed="false">
      <c r="A43" s="4" t="n">
        <v>39</v>
      </c>
      <c r="B43" s="4" t="s">
        <v>463</v>
      </c>
      <c r="C43" s="4" t="s">
        <v>42</v>
      </c>
      <c r="D43" s="4" t="s">
        <v>266</v>
      </c>
      <c r="E43" s="5" t="s">
        <v>591</v>
      </c>
      <c r="F43" s="4"/>
      <c r="G43" s="9" t="s">
        <v>78</v>
      </c>
      <c r="H43" s="5" t="s">
        <v>592</v>
      </c>
      <c r="I43" s="5"/>
      <c r="J43" s="5" t="s">
        <v>593</v>
      </c>
    </row>
    <row r="44" customFormat="false" ht="23.85" hidden="false" customHeight="false" outlineLevel="0" collapsed="false">
      <c r="A44" s="4" t="n">
        <v>40</v>
      </c>
      <c r="B44" s="4" t="s">
        <v>459</v>
      </c>
      <c r="C44" s="4" t="s">
        <v>42</v>
      </c>
      <c r="D44" s="4" t="s">
        <v>269</v>
      </c>
      <c r="E44" s="5" t="s">
        <v>594</v>
      </c>
      <c r="F44" s="4"/>
      <c r="G44" s="9" t="s">
        <v>78</v>
      </c>
      <c r="H44" s="5" t="s">
        <v>595</v>
      </c>
      <c r="I44" s="5"/>
      <c r="J44" s="5" t="s">
        <v>596</v>
      </c>
    </row>
    <row r="45" customFormat="false" ht="57.45" hidden="false" customHeight="false" outlineLevel="0" collapsed="false">
      <c r="A45" s="4" t="n">
        <v>41</v>
      </c>
      <c r="B45" s="4" t="s">
        <v>473</v>
      </c>
      <c r="C45" s="4" t="s">
        <v>42</v>
      </c>
      <c r="D45" s="4" t="s">
        <v>266</v>
      </c>
      <c r="E45" s="5" t="s">
        <v>597</v>
      </c>
      <c r="F45" s="4"/>
      <c r="G45" s="11" t="s">
        <v>80</v>
      </c>
      <c r="H45" s="5" t="s">
        <v>598</v>
      </c>
      <c r="I45" s="5" t="s">
        <v>599</v>
      </c>
      <c r="J45" s="5" t="s">
        <v>600</v>
      </c>
    </row>
    <row r="46" customFormat="false" ht="46.25" hidden="false" customHeight="false" outlineLevel="0" collapsed="false">
      <c r="A46" s="4" t="n">
        <v>42</v>
      </c>
      <c r="B46" s="4" t="s">
        <v>459</v>
      </c>
      <c r="C46" s="4" t="s">
        <v>47</v>
      </c>
      <c r="D46" s="4" t="s">
        <v>342</v>
      </c>
      <c r="E46" s="5" t="s">
        <v>601</v>
      </c>
      <c r="F46" s="4"/>
      <c r="G46" s="9" t="s">
        <v>78</v>
      </c>
      <c r="H46" s="5" t="s">
        <v>602</v>
      </c>
      <c r="I46" s="5"/>
      <c r="J46" s="5" t="s">
        <v>603</v>
      </c>
    </row>
    <row r="47" customFormat="false" ht="35.05" hidden="false" customHeight="false" outlineLevel="0" collapsed="false">
      <c r="A47" s="4" t="n">
        <v>43</v>
      </c>
      <c r="B47" s="4" t="s">
        <v>473</v>
      </c>
      <c r="C47" s="4" t="s">
        <v>42</v>
      </c>
      <c r="D47" s="4" t="s">
        <v>269</v>
      </c>
      <c r="E47" s="5" t="s">
        <v>604</v>
      </c>
      <c r="F47" s="4"/>
      <c r="G47" s="9" t="s">
        <v>78</v>
      </c>
      <c r="H47" s="5" t="s">
        <v>605</v>
      </c>
      <c r="I47" s="5"/>
      <c r="J47" s="5" t="s">
        <v>606</v>
      </c>
    </row>
    <row r="48" customFormat="false" ht="46.25" hidden="false" customHeight="false" outlineLevel="0" collapsed="false">
      <c r="A48" s="4" t="n">
        <v>44</v>
      </c>
      <c r="B48" s="4" t="s">
        <v>463</v>
      </c>
      <c r="C48" s="4" t="s">
        <v>42</v>
      </c>
      <c r="D48" s="4" t="s">
        <v>323</v>
      </c>
      <c r="E48" s="5" t="s">
        <v>607</v>
      </c>
      <c r="F48" s="4"/>
      <c r="G48" s="9" t="s">
        <v>78</v>
      </c>
      <c r="H48" s="5" t="s">
        <v>608</v>
      </c>
      <c r="I48" s="5"/>
      <c r="J48" s="5" t="s">
        <v>609</v>
      </c>
    </row>
    <row r="49" customFormat="false" ht="68.65" hidden="false" customHeight="false" outlineLevel="0" collapsed="false">
      <c r="A49" s="4" t="n">
        <v>45</v>
      </c>
      <c r="B49" s="4" t="s">
        <v>473</v>
      </c>
      <c r="C49" s="4" t="s">
        <v>42</v>
      </c>
      <c r="D49" s="4" t="s">
        <v>323</v>
      </c>
      <c r="E49" s="5" t="s">
        <v>610</v>
      </c>
      <c r="F49" s="4"/>
      <c r="G49" s="11" t="s">
        <v>80</v>
      </c>
      <c r="H49" s="5" t="s">
        <v>611</v>
      </c>
      <c r="I49" s="5" t="s">
        <v>612</v>
      </c>
      <c r="J49" s="5" t="s">
        <v>613</v>
      </c>
    </row>
    <row r="50" customFormat="false" ht="57.45" hidden="false" customHeight="false" outlineLevel="0" collapsed="false">
      <c r="A50" s="4" t="n">
        <v>46</v>
      </c>
      <c r="B50" s="4" t="s">
        <v>463</v>
      </c>
      <c r="C50" s="4" t="s">
        <v>42</v>
      </c>
      <c r="D50" s="4" t="s">
        <v>299</v>
      </c>
      <c r="E50" s="5" t="s">
        <v>614</v>
      </c>
      <c r="F50" s="4" t="s">
        <v>509</v>
      </c>
      <c r="G50" s="9" t="s">
        <v>78</v>
      </c>
      <c r="H50" s="5" t="s">
        <v>615</v>
      </c>
      <c r="I50" s="5"/>
      <c r="J50" s="5" t="s">
        <v>616</v>
      </c>
    </row>
    <row r="51" customFormat="false" ht="46.25" hidden="false" customHeight="false" outlineLevel="0" collapsed="false">
      <c r="A51" s="4" t="n">
        <v>47</v>
      </c>
      <c r="B51" s="4" t="s">
        <v>459</v>
      </c>
      <c r="C51" s="4" t="s">
        <v>42</v>
      </c>
      <c r="D51" s="4" t="s">
        <v>304</v>
      </c>
      <c r="E51" s="5" t="s">
        <v>617</v>
      </c>
      <c r="F51" s="4" t="s">
        <v>509</v>
      </c>
      <c r="G51" s="9" t="s">
        <v>78</v>
      </c>
      <c r="H51" s="5" t="s">
        <v>618</v>
      </c>
      <c r="I51" s="5"/>
      <c r="J51" s="5" t="s">
        <v>619</v>
      </c>
    </row>
    <row r="52" customFormat="false" ht="46.25" hidden="false" customHeight="false" outlineLevel="0" collapsed="false">
      <c r="A52" s="4" t="n">
        <v>48</v>
      </c>
      <c r="B52" s="4" t="s">
        <v>463</v>
      </c>
      <c r="C52" s="4" t="s">
        <v>42</v>
      </c>
      <c r="D52" s="4" t="s">
        <v>323</v>
      </c>
      <c r="E52" s="5" t="s">
        <v>620</v>
      </c>
      <c r="F52" s="4" t="s">
        <v>509</v>
      </c>
      <c r="G52" s="9" t="s">
        <v>78</v>
      </c>
      <c r="H52" s="5" t="s">
        <v>621</v>
      </c>
      <c r="I52" s="5"/>
      <c r="J52" s="5" t="s">
        <v>622</v>
      </c>
    </row>
    <row r="53" customFormat="false" ht="23.85" hidden="false" customHeight="false" outlineLevel="0" collapsed="false">
      <c r="A53" s="4" t="n">
        <v>49</v>
      </c>
      <c r="B53" s="4" t="s">
        <v>473</v>
      </c>
      <c r="C53" s="4" t="s">
        <v>42</v>
      </c>
      <c r="D53" s="4" t="s">
        <v>245</v>
      </c>
      <c r="E53" s="5" t="s">
        <v>623</v>
      </c>
      <c r="F53" s="4"/>
      <c r="G53" s="9" t="s">
        <v>78</v>
      </c>
      <c r="H53" s="5" t="s">
        <v>624</v>
      </c>
      <c r="I53" s="5"/>
      <c r="J53" s="5" t="s">
        <v>625</v>
      </c>
    </row>
    <row r="54" customFormat="false" ht="23.85" hidden="false" customHeight="false" outlineLevel="0" collapsed="false">
      <c r="A54" s="4" t="n">
        <v>50</v>
      </c>
      <c r="B54" s="4" t="s">
        <v>459</v>
      </c>
      <c r="C54" s="4" t="s">
        <v>47</v>
      </c>
      <c r="D54" s="4" t="s">
        <v>339</v>
      </c>
      <c r="E54" s="5" t="s">
        <v>626</v>
      </c>
      <c r="F54" s="4"/>
      <c r="G54" s="9" t="s">
        <v>78</v>
      </c>
      <c r="H54" s="5" t="s">
        <v>627</v>
      </c>
      <c r="I54" s="5"/>
      <c r="J54" s="5" t="s">
        <v>628</v>
      </c>
    </row>
    <row r="55" customFormat="false" ht="35.05" hidden="false" customHeight="false" outlineLevel="0" collapsed="false">
      <c r="A55" s="4" t="n">
        <v>51</v>
      </c>
      <c r="B55" s="4" t="s">
        <v>473</v>
      </c>
      <c r="C55" s="4" t="s">
        <v>47</v>
      </c>
      <c r="D55" s="4" t="s">
        <v>337</v>
      </c>
      <c r="E55" s="5" t="s">
        <v>629</v>
      </c>
      <c r="F55" s="4" t="s">
        <v>509</v>
      </c>
      <c r="G55" s="9" t="s">
        <v>78</v>
      </c>
      <c r="H55" s="5" t="s">
        <v>630</v>
      </c>
      <c r="I55" s="5"/>
      <c r="J55" s="5" t="s">
        <v>631</v>
      </c>
    </row>
    <row r="56" customFormat="false" ht="57.45" hidden="false" customHeight="false" outlineLevel="0" collapsed="false">
      <c r="A56" s="4" t="n">
        <v>52</v>
      </c>
      <c r="B56" s="4" t="s">
        <v>459</v>
      </c>
      <c r="C56" s="4" t="s">
        <v>47</v>
      </c>
      <c r="D56" s="4" t="s">
        <v>632</v>
      </c>
      <c r="E56" s="5" t="s">
        <v>633</v>
      </c>
      <c r="F56" s="4" t="s">
        <v>509</v>
      </c>
      <c r="G56" s="9" t="s">
        <v>78</v>
      </c>
      <c r="H56" s="5" t="s">
        <v>634</v>
      </c>
      <c r="I56" s="5"/>
      <c r="J56" s="5" t="s">
        <v>635</v>
      </c>
    </row>
    <row r="57" customFormat="false" ht="46.25" hidden="false" customHeight="false" outlineLevel="0" collapsed="false">
      <c r="A57" s="4" t="n">
        <v>53</v>
      </c>
      <c r="B57" s="4" t="s">
        <v>463</v>
      </c>
      <c r="C57" s="4" t="s">
        <v>47</v>
      </c>
      <c r="D57" s="4" t="s">
        <v>373</v>
      </c>
      <c r="E57" s="5" t="s">
        <v>636</v>
      </c>
      <c r="F57" s="4" t="s">
        <v>509</v>
      </c>
      <c r="G57" s="9" t="s">
        <v>78</v>
      </c>
      <c r="H57" s="5" t="s">
        <v>637</v>
      </c>
      <c r="I57" s="5"/>
      <c r="J57" s="5" t="s">
        <v>638</v>
      </c>
    </row>
    <row r="58" customFormat="false" ht="23.85" hidden="false" customHeight="false" outlineLevel="0" collapsed="false">
      <c r="A58" s="4" t="n">
        <v>54</v>
      </c>
      <c r="B58" s="4" t="s">
        <v>463</v>
      </c>
      <c r="C58" s="4" t="s">
        <v>47</v>
      </c>
      <c r="D58" s="4" t="s">
        <v>337</v>
      </c>
      <c r="E58" s="5" t="s">
        <v>639</v>
      </c>
      <c r="F58" s="4"/>
      <c r="G58" s="9" t="s">
        <v>78</v>
      </c>
      <c r="H58" s="5" t="s">
        <v>640</v>
      </c>
      <c r="I58" s="5"/>
      <c r="J58" s="5" t="s">
        <v>641</v>
      </c>
    </row>
    <row r="59" customFormat="false" ht="35.05" hidden="false" customHeight="false" outlineLevel="0" collapsed="false">
      <c r="A59" s="4" t="n">
        <v>55</v>
      </c>
      <c r="B59" s="4" t="s">
        <v>473</v>
      </c>
      <c r="C59" s="4" t="s">
        <v>47</v>
      </c>
      <c r="D59" s="4" t="s">
        <v>386</v>
      </c>
      <c r="E59" s="5" t="s">
        <v>642</v>
      </c>
      <c r="F59" s="4"/>
      <c r="G59" s="9" t="s">
        <v>78</v>
      </c>
      <c r="H59" s="5" t="s">
        <v>643</v>
      </c>
      <c r="I59" s="5"/>
      <c r="J59" s="5" t="s">
        <v>644</v>
      </c>
    </row>
    <row r="60" customFormat="false" ht="46.25" hidden="false" customHeight="false" outlineLevel="0" collapsed="false">
      <c r="A60" s="4" t="n">
        <v>56</v>
      </c>
      <c r="B60" s="4" t="s">
        <v>459</v>
      </c>
      <c r="C60" s="4" t="s">
        <v>47</v>
      </c>
      <c r="D60" s="4" t="s">
        <v>386</v>
      </c>
      <c r="E60" s="5" t="s">
        <v>645</v>
      </c>
      <c r="F60" s="4" t="s">
        <v>509</v>
      </c>
      <c r="G60" s="9" t="s">
        <v>78</v>
      </c>
      <c r="H60" s="5" t="s">
        <v>646</v>
      </c>
      <c r="I60" s="5"/>
      <c r="J60" s="5" t="s">
        <v>647</v>
      </c>
    </row>
    <row r="61" customFormat="false" ht="46.25" hidden="false" customHeight="false" outlineLevel="0" collapsed="false">
      <c r="A61" s="4" t="n">
        <v>57</v>
      </c>
      <c r="B61" s="4" t="s">
        <v>463</v>
      </c>
      <c r="C61" s="4" t="s">
        <v>47</v>
      </c>
      <c r="D61" s="4" t="s">
        <v>648</v>
      </c>
      <c r="E61" s="5" t="s">
        <v>649</v>
      </c>
      <c r="F61" s="4" t="s">
        <v>509</v>
      </c>
      <c r="G61" s="9" t="s">
        <v>78</v>
      </c>
      <c r="H61" s="5" t="s">
        <v>650</v>
      </c>
      <c r="I61" s="5"/>
      <c r="J61" s="5" t="s">
        <v>651</v>
      </c>
    </row>
    <row r="62" customFormat="false" ht="46.25" hidden="false" customHeight="false" outlineLevel="0" collapsed="false">
      <c r="A62" s="4" t="n">
        <v>58</v>
      </c>
      <c r="B62" s="4" t="s">
        <v>459</v>
      </c>
      <c r="C62" s="4" t="s">
        <v>47</v>
      </c>
      <c r="D62" s="4" t="s">
        <v>396</v>
      </c>
      <c r="E62" s="5" t="s">
        <v>652</v>
      </c>
      <c r="F62" s="4" t="s">
        <v>509</v>
      </c>
      <c r="G62" s="9" t="s">
        <v>78</v>
      </c>
      <c r="H62" s="5" t="s">
        <v>653</v>
      </c>
      <c r="I62" s="5"/>
      <c r="J62" s="5" t="s">
        <v>654</v>
      </c>
    </row>
    <row r="63" customFormat="false" ht="23.85" hidden="false" customHeight="false" outlineLevel="0" collapsed="false">
      <c r="A63" s="4" t="n">
        <v>59</v>
      </c>
      <c r="B63" s="4" t="s">
        <v>473</v>
      </c>
      <c r="C63" s="4" t="s">
        <v>47</v>
      </c>
      <c r="D63" s="4" t="s">
        <v>386</v>
      </c>
      <c r="E63" s="5" t="s">
        <v>655</v>
      </c>
      <c r="F63" s="4" t="s">
        <v>509</v>
      </c>
      <c r="G63" s="9" t="s">
        <v>78</v>
      </c>
      <c r="H63" s="5" t="s">
        <v>656</v>
      </c>
      <c r="I63" s="5"/>
      <c r="J63" s="5" t="s">
        <v>657</v>
      </c>
    </row>
    <row r="64" customFormat="false" ht="57.45" hidden="false" customHeight="false" outlineLevel="0" collapsed="false">
      <c r="A64" s="4" t="n">
        <v>60</v>
      </c>
      <c r="B64" s="4" t="s">
        <v>463</v>
      </c>
      <c r="C64" s="4" t="s">
        <v>47</v>
      </c>
      <c r="D64" s="4" t="s">
        <v>396</v>
      </c>
      <c r="E64" s="5" t="s">
        <v>658</v>
      </c>
      <c r="F64" s="4" t="s">
        <v>509</v>
      </c>
      <c r="G64" s="9" t="s">
        <v>78</v>
      </c>
      <c r="H64" s="5" t="s">
        <v>659</v>
      </c>
      <c r="I64" s="5"/>
      <c r="J64" s="5" t="s">
        <v>660</v>
      </c>
    </row>
  </sheetData>
  <autoFilter ref="A4:J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6.15" hidden="false" customHeight="false" outlineLevel="0" collapsed="false">
      <c r="A1" s="7" t="s">
        <v>661</v>
      </c>
    </row>
    <row r="3" customFormat="false" ht="43.5" hidden="false" customHeight="true" outlineLevel="0" collapsed="false">
      <c r="A3" s="19" t="s">
        <v>662</v>
      </c>
      <c r="B3" s="20" t="s">
        <v>663</v>
      </c>
    </row>
    <row r="4" customFormat="false" ht="43.5" hidden="false" customHeight="true" outlineLevel="0" collapsed="false">
      <c r="A4" s="19" t="s">
        <v>664</v>
      </c>
      <c r="B4" s="20" t="s">
        <v>665</v>
      </c>
    </row>
    <row r="5" customFormat="false" ht="43.5" hidden="false" customHeight="true" outlineLevel="0" collapsed="false">
      <c r="A5" s="19" t="s">
        <v>666</v>
      </c>
      <c r="B5" s="20" t="s">
        <v>667</v>
      </c>
    </row>
    <row r="6" customFormat="false" ht="43.5" hidden="false" customHeight="true" outlineLevel="0" collapsed="false">
      <c r="A6" s="19" t="s">
        <v>668</v>
      </c>
      <c r="B6" s="20" t="s">
        <v>669</v>
      </c>
    </row>
    <row r="7" customFormat="false" ht="43.5" hidden="false" customHeight="true" outlineLevel="0" collapsed="false">
      <c r="A7" s="19" t="s">
        <v>670</v>
      </c>
      <c r="B7" s="20" t="s">
        <v>671</v>
      </c>
    </row>
    <row r="8" customFormat="false" ht="43.5" hidden="false" customHeight="true" outlineLevel="0" collapsed="false">
      <c r="A8" s="19" t="s">
        <v>672</v>
      </c>
      <c r="B8" s="20" t="s">
        <v>673</v>
      </c>
    </row>
    <row r="9" customFormat="false" ht="43.5" hidden="false" customHeight="true" outlineLevel="0" collapsed="false">
      <c r="A9" s="19" t="s">
        <v>674</v>
      </c>
      <c r="B9" s="20" t="s">
        <v>675</v>
      </c>
    </row>
    <row r="10" customFormat="false" ht="43.5" hidden="false" customHeight="true" outlineLevel="0" collapsed="false">
      <c r="A10" s="19" t="s">
        <v>676</v>
      </c>
      <c r="B10" s="20" t="s">
        <v>677</v>
      </c>
    </row>
    <row r="11" customFormat="false" ht="43.5" hidden="false" customHeight="true" outlineLevel="0" collapsed="false">
      <c r="A11" s="19" t="s">
        <v>678</v>
      </c>
      <c r="B11" s="20" t="s">
        <v>679</v>
      </c>
    </row>
    <row r="12" customFormat="false" ht="43.5" hidden="false" customHeight="true" outlineLevel="0" collapsed="false">
      <c r="A12" s="19" t="s">
        <v>680</v>
      </c>
      <c r="B12" s="20" t="s">
        <v>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2026-08-16T16:43:02Z</dcterms:created>
  <dc:creator>openpyxl</dc:creator>
  <dc:description/>
  <dc:language>en-US</dc:language>
  <cp:lastModifiedBy/>
  <dcterms:modified xsi:type="dcterms:W3CDTF">2026-08-16T16:43:02Z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