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ục lục" sheetId="1" state="visible" r:id="rId3"/>
    <sheet name="Tổng quan" sheetId="2" state="visible" r:id="rId4"/>
    <sheet name="Chi tiết theo mục" sheetId="3" state="visible" r:id="rId5"/>
    <sheet name="Cần bổ sung" sheetId="4" state="visible" r:id="rId6"/>
    <sheet name="Đề thi thử" sheetId="5" state="visible" r:id="rId7"/>
    <sheet name="Cách chấm" sheetId="6" state="visible" r:id="rId8"/>
  </sheets>
  <definedNames>
    <definedName function="false" hidden="true" localSheetId="3" name="_xlnm._FilterDatabase" vbProcedure="false">'Cần bổ sung'!$A$4:$I$32</definedName>
    <definedName function="false" hidden="true" localSheetId="2" name="_xlnm._FilterDatabase" vbProcedure="false">'Chi tiết theo mục'!$A$1:$L$114</definedName>
    <definedName function="false" hidden="true" localSheetId="4" name="_xlnm._FilterDatabase" vbProcedure="false">'Đề thi thử'!$A$4:$J$64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<sst xmlns="http://schemas.openxmlformats.org/spreadsheetml/2006/main" count="1579" uniqueCount="730">
  <si>
    <t xml:space="preserve">MỤC LỤC</t>
  </si>
  <si>
    <t xml:space="preserve">Module 3 — Valuation for Transactions</t>
  </si>
  <si>
    <t xml:space="preserve">#</t>
  </si>
  <si>
    <t xml:space="preserve">Sheet</t>
  </si>
  <si>
    <t xml:space="preserve">Mô tả</t>
  </si>
  <si>
    <t xml:space="preserve">Số dòng</t>
  </si>
  <si>
    <t xml:space="preserve">Tổng quan</t>
  </si>
  <si>
    <t xml:space="preserve">Độ phủ theo từng chương, phụ lục, và kết quả 60 câu đề thi thử. Đọc sheet này trước.</t>
  </si>
  <si>
    <t xml:space="preserve">Chi tiết theo mục</t>
  </si>
  <si>
    <t xml:space="preserve">Một dòng cho mỗi mục đánh số trong giáo trình. Lọc cột "Kết quả" để tìm chỗ hụt.</t>
  </si>
  <si>
    <t xml:space="preserve">Cần bổ sung</t>
  </si>
  <si>
    <t xml:space="preserve">Chỉ các mục THIẾU và MỎNG, xếp theo rủi ro thi. Đây là danh sách việc.</t>
  </si>
  <si>
    <t xml:space="preserve">Đề thi thử</t>
  </si>
  <si>
    <t xml:space="preserve">60 câu do ACRA/SMU soạn, chấm xem file có dạy đủ để làm được không.</t>
  </si>
  <si>
    <t xml:space="preserve">Cách chấm</t>
  </si>
  <si>
    <t xml:space="preserve">Phương pháp và ba điểm mù đã biết của phép chấm này.</t>
  </si>
  <si>
    <t xml:space="preserve">ĐỘ PHỦ KIẾN THỨC THI — Module 3 — Valuation for Transactions</t>
  </si>
  <si>
    <t xml:space="preserve">So cva-module3-study-vi.html với cva-prog-module3-valuation-for-transactions.pdf (ACRA / SMU, ấn bản đầu 2026)</t>
  </si>
  <si>
    <t xml:space="preserve">PHẦN 1 — ĐỘ PHỦ THEO CHƯƠNG</t>
  </si>
  <si>
    <t xml:space="preserve">Chương trong giáo trình</t>
  </si>
  <si>
    <t xml:space="preserve">Trang</t>
  </si>
  <si>
    <t xml:space="preserve">Tab trong file HTML</t>
  </si>
  <si>
    <t xml:space="preserve">Số mục</t>
  </si>
  <si>
    <t xml:space="preserve">ĐỦ</t>
  </si>
  <si>
    <t xml:space="preserve">MỎNG</t>
  </si>
  <si>
    <t xml:space="preserve">THIẾU</t>
  </si>
  <si>
    <t xml:space="preserve">Không cần</t>
  </si>
  <si>
    <t xml:space="preserve">% phủ</t>
  </si>
  <si>
    <t xml:space="preserve">Đánh giá</t>
  </si>
  <si>
    <t xml:space="preserve">Ghi chú</t>
  </si>
  <si>
    <t xml:space="preserve">Chương 1 — Định giá trong bối cảnh giao dịch</t>
  </si>
  <si>
    <t xml:space="preserve">12–35</t>
  </si>
  <si>
    <t xml:space="preserve">ch1</t>
  </si>
  <si>
    <t xml:space="preserve">Tốt</t>
  </si>
  <si>
    <t xml:space="preserve">Rủi ro thi Cao chưa đủ: 1.3.3</t>
  </si>
  <si>
    <t xml:space="preserve">Chương 2 — Yêu cầu pháp lý</t>
  </si>
  <si>
    <t xml:space="preserve">37–65</t>
  </si>
  <si>
    <t xml:space="preserve">ch2</t>
  </si>
  <si>
    <t xml:space="preserve">Khá</t>
  </si>
  <si>
    <t xml:space="preserve">Rủi ro thi Cao chưa đủ: 2.1.2, 2.2, 2.6.5</t>
  </si>
  <si>
    <t xml:space="preserve">Chương 3 — Cách tiếp cận thị trường</t>
  </si>
  <si>
    <t xml:space="preserve">67–98</t>
  </si>
  <si>
    <t xml:space="preserve">ch3</t>
  </si>
  <si>
    <t xml:space="preserve">Rủi ro thi Cao chưa đủ: 3.3.2, 3.5</t>
  </si>
  <si>
    <t xml:space="preserve">Chương 4 — Cách tiếp cận thu nhập</t>
  </si>
  <si>
    <t xml:space="preserve">100–136</t>
  </si>
  <si>
    <t xml:space="preserve">ch4</t>
  </si>
  <si>
    <t xml:space="preserve">Rủi ro thi Cao chưa đủ: 4.3.2, 4.3.4, 4.3.6, 4.3.7, 4.3.8, 4.5</t>
  </si>
  <si>
    <t xml:space="preserve">Chương 5 — Cách tiếp cận tài sản</t>
  </si>
  <si>
    <t xml:space="preserve">138–160</t>
  </si>
  <si>
    <t xml:space="preserve">ch5</t>
  </si>
  <si>
    <t xml:space="preserve">Rất tốt</t>
  </si>
  <si>
    <t xml:space="preserve">Rủi ro thi Cao chưa đủ: 5.5</t>
  </si>
  <si>
    <t xml:space="preserve">Chương 6 — Chiết khấu và phần bù</t>
  </si>
  <si>
    <t xml:space="preserve">162–179</t>
  </si>
  <si>
    <t xml:space="preserve">ch6</t>
  </si>
  <si>
    <t xml:space="preserve">Rủi ro thi Cao chưa đủ: 6.4</t>
  </si>
  <si>
    <t xml:space="preserve">Chương 7 — Công ty tư nhân</t>
  </si>
  <si>
    <t xml:space="preserve">181–207</t>
  </si>
  <si>
    <t xml:space="preserve">ch7</t>
  </si>
  <si>
    <t xml:space="preserve">Rủi ro thi Cao chưa đủ: 7.1.3, 7.3.3</t>
  </si>
  <si>
    <t xml:space="preserve">TOÀN MODULE</t>
  </si>
  <si>
    <t xml:space="preserve">MỎNG tính nửa điểm: một mục mỏng vẫn dạy được ý chính, chỉ hụt chi tiết.</t>
  </si>
  <si>
    <t xml:space="preserve">PHẦN 2 — PHỤ LỤC VÀ ĐỀ THI THỬ TRONG GIÁO TRÌNH</t>
  </si>
  <si>
    <t xml:space="preserve">Phần</t>
  </si>
  <si>
    <t xml:space="preserve">Nơi phủ trong HTML</t>
  </si>
  <si>
    <t xml:space="preserve">Mức phủ</t>
  </si>
  <si>
    <t xml:space="preserve">Phụ lục A — trích SIC / IVS</t>
  </si>
  <si>
    <t xml:space="preserve">209–214</t>
  </si>
  <si>
    <t xml:space="preserve">—</t>
  </si>
  <si>
    <t xml:space="preserve">Không phủ</t>
  </si>
  <si>
    <t xml:space="preserve">Trích quy định Hội đồng Chứng khoán và IVS. Nội dung cốt lõi đã nằm trong chương 2 và 3.</t>
  </si>
  <si>
    <t xml:space="preserve">Phụ lục B — toàn văn IVS 2025</t>
  </si>
  <si>
    <t xml:space="preserve">214–374</t>
  </si>
  <si>
    <t xml:space="preserve">Hơn 160 trang nguyên văn chuẩn mực. File ôn dẫn số hiệu và trích đoạn khi cần, không chép lại toàn văn.</t>
  </si>
  <si>
    <t xml:space="preserve">Phụ lục C, D — IPEV 2025, hướng dẫn ESG</t>
  </si>
  <si>
    <t xml:space="preserve">375–383</t>
  </si>
  <si>
    <t xml:space="preserve">ch7 (một phần)</t>
  </si>
  <si>
    <t xml:space="preserve">Một phần</t>
  </si>
  <si>
    <t xml:space="preserve">Chỉ có phần liên kết và phạm vi; nội dung chi tiết của hai bộ hướng dẫn không nằm trong giáo trình.</t>
  </si>
  <si>
    <t xml:space="preserve">Đề thi thử — 60 câu</t>
  </si>
  <si>
    <t xml:space="preserve">385–421</t>
  </si>
  <si>
    <t xml:space="preserve">Tab Quiz (175 câu riêng)</t>
  </si>
  <si>
    <t xml:space="preserve">Xem sheet Đề thi thử</t>
  </si>
  <si>
    <t xml:space="preserve">File ôn KHÔNG chép đề thi thử; 175 câu quiz là bộ soạn riêng. Sheet Đề thi thử chấm xem file có dạy đủ để làm 60 câu đó không.</t>
  </si>
  <si>
    <t xml:space="preserve">PHẦN 3 — ĐỀ THI THỬ 60 CÂU LÀM ĐƯỢC ĐẾN ĐÂU</t>
  </si>
  <si>
    <t xml:space="preserve">Kết quả chấm</t>
  </si>
  <si>
    <t xml:space="preserve">Số câu</t>
  </si>
  <si>
    <t xml:space="preserve">Tỷ lệ</t>
  </si>
  <si>
    <t xml:space="preserve">Nghĩa là gì</t>
  </si>
  <si>
    <t xml:space="preserve">TRẢ LỜI ĐƯỢC</t>
  </si>
  <si>
    <t xml:space="preserve">Người chỉ học file này chắc chắn làm đúng — kiến thức cần có mặt tường minh.</t>
  </si>
  <si>
    <t xml:space="preserve">RỦI RO</t>
  </si>
  <si>
    <t xml:space="preserve">Có ý liên quan nhưng hụt một mắt xích (một ngưỡng, một ngoại lệ, một bước tính) nên dễ chọn sai.</t>
  </si>
  <si>
    <t xml:space="preserve">KHÔNG</t>
  </si>
  <si>
    <t xml:space="preserve">Kiến thức cần để trả lời không có ở đâu trong file.</t>
  </si>
  <si>
    <t xml:space="preserve">Mục</t>
  </si>
  <si>
    <t xml:space="preserve">Tiêu đề trong giáo trình</t>
  </si>
  <si>
    <t xml:space="preserve">Chương</t>
  </si>
  <si>
    <t xml:space="preserve">Số từ
nguồn</t>
  </si>
  <si>
    <t xml:space="preserve">Kết quả
lần chấm</t>
  </si>
  <si>
    <t xml:space="preserve">Đã vá?</t>
  </si>
  <si>
    <t xml:space="preserve">Rủi ro thi</t>
  </si>
  <si>
    <t xml:space="preserve">Số câu
quiz</t>
  </si>
  <si>
    <t xml:space="preserve">Thiếu cụ thể cái gì</t>
  </si>
  <si>
    <t xml:space="preserve">Đã bổ sung gì</t>
  </si>
  <si>
    <t xml:space="preserve">Tín hiệu máy</t>
  </si>
  <si>
    <t xml:space="preserve">1.1</t>
  </si>
  <si>
    <t xml:space="preserve">Open market and notional market valuation</t>
  </si>
  <si>
    <t xml:space="preserve">Cao</t>
  </si>
  <si>
    <t xml:space="preserve">s1, s2, s3, synthesis, quiz:Q1, quiz:Q2, quiz:Q13, quiz:Q23</t>
  </si>
  <si>
    <t xml:space="preserve">1.2</t>
  </si>
  <si>
    <t xml:space="preserve">Share market and corporate valuation</t>
  </si>
  <si>
    <t xml:space="preserve">s4, s5, synthesis, quiz:Q3, quiz:Q4, quiz:Q14, quiz:Q15</t>
  </si>
  <si>
    <t xml:space="preserve">1.3</t>
  </si>
  <si>
    <t xml:space="preserve">Valuation of public listed and private companies</t>
  </si>
  <si>
    <t xml:space="preserve">Thấp</t>
  </si>
  <si>
    <t xml:space="preserve">s6</t>
  </si>
  <si>
    <t xml:space="preserve">1.3.1</t>
  </si>
  <si>
    <t xml:space="preserve">Information availability</t>
  </si>
  <si>
    <t xml:space="preserve">Vừa</t>
  </si>
  <si>
    <t xml:space="preserve">s6, s7</t>
  </si>
  <si>
    <t xml:space="preserve">1.3.2</t>
  </si>
  <si>
    <t xml:space="preserve">Liquidity considerations</t>
  </si>
  <si>
    <t xml:space="preserve">s6, s7, synthesis, quiz:Q5, quiz:Q22</t>
  </si>
  <si>
    <t xml:space="preserve">1.3.3</t>
  </si>
  <si>
    <t xml:space="preserve">Availability of market evidence</t>
  </si>
  <si>
    <t xml:space="preserve">đã vá</t>
  </si>
  <si>
    <t xml:space="preserve">s6, s7, synthesis, quiz:Q6, quiz:Q16, quiz:Q17, quiz:Q24</t>
  </si>
  <si>
    <t xml:space="preserve">Thiếu cảnh báo của sách về việc đọc bội số quan sát được của công ty niêm yết trong thị trường biến động — giá có thể dao động mạnh trong khủng hoảng hoặc bong bóng đầu cơ nên phải dùng phán đoán nghề nghiệp khi diễn giải bội số (quét 0 lần các từ khủng hoảng/bong bóng/đầu cơ trong cả 5 file). Cảnh báo hiện có ở s6 là về cổ phiếu vốn hóa nhỏ giao dịch thưa (thuộc 1.3.2) và về nhiễu tín hiệu do điều chỉnh lợi nhuận (thuộc 1.3.1), không phải cảnh báo này.</t>
  </si>
  <si>
    <t xml:space="preserve">Thêm một dòng warn ở s6 bước 3: bội số của công ty niêm yết chỉ đáng tin khi thị trường bình thường; trong khủng hoảng hoặc bong bóng đầu cơ, giá và bội số quan sát được phải qua phán đoán nghề nghiệp trước khi áp cho đối tượng định giá.</t>
  </si>
  <si>
    <t xml:space="preserve">1.4</t>
  </si>
  <si>
    <t xml:space="preserve">Valuation considerations specific to transaction contexts</t>
  </si>
  <si>
    <t xml:space="preserve">s8</t>
  </si>
  <si>
    <t xml:space="preserve">1.4.1</t>
  </si>
  <si>
    <t xml:space="preserve">Purpose of valuation in transaction contexts</t>
  </si>
  <si>
    <t xml:space="preserve">s8, quiz:Q7</t>
  </si>
  <si>
    <t xml:space="preserve">1.4.2</t>
  </si>
  <si>
    <t xml:space="preserve">Users of the valuation</t>
  </si>
  <si>
    <t xml:space="preserve">s8, s9, synthesis, quiz:Q18, quiz:Q21, quiz:Q25</t>
  </si>
  <si>
    <t xml:space="preserve">1.4.4</t>
  </si>
  <si>
    <t xml:space="preserve">Enterprise value vs equity value</t>
  </si>
  <si>
    <t xml:space="preserve">s10, synthesis, viz:ev-equity-bridge, calc:ev-equity-bridge, calc:ev-equity-calc, quiz:Q19, quiz:Q20</t>
  </si>
  <si>
    <t xml:space="preserve">1.5</t>
  </si>
  <si>
    <t xml:space="preserve">Applicable valuation standards and guidelines</t>
  </si>
  <si>
    <t xml:space="preserve">s11, synthesis, quiz:Q8, quiz:Q9</t>
  </si>
  <si>
    <t xml:space="preserve">1.5.2</t>
  </si>
  <si>
    <t xml:space="preserve">Intangibles Disclosure Framework and Intangible Asset Valuation Guide</t>
  </si>
  <si>
    <t xml:space="preserve">s12, synthesis, quiz:Q10</t>
  </si>
  <si>
    <t xml:space="preserve">1.5.3</t>
  </si>
  <si>
    <t xml:space="preserve">International Private Equity and Venture Capital Guidelines</t>
  </si>
  <si>
    <t xml:space="preserve">s12, synthesis, quiz:Q11</t>
  </si>
  <si>
    <t xml:space="preserve">Thiếu 2 trong 3 MỤC TIÊU mà sách liệt kê thành gạch đầu dòng riêng cho IPEV: (a) thúc đẩy cách tiếp cận và phương pháp định giá nhất quán trên khắp thị trường vốn tư nhân, (b) củng cố niềm tin của nhà đầu tư. Mục tiêu thứ ba (khớp với chuẩn mực báo cáo tài chính) có ở khối warn. HTML chỉ dạy 3 NGUYÊN TẮC (giá trị hợp lý, calibration, nhiều phương pháp) — đủ và sâu — nhưng gộp mất danh sách mục tiêu; chữ nhất quán trong s12 là nói về calibration giúp các KỲ nhất quán, không phải mục tiêu này. Cũng thiếu con trỏ sách nêu rằng việc áp dụng IPEV được bàn tiếp ở chương 7.</t>
  </si>
  <si>
    <t xml:space="preserve">Thêm một dòng deflist hoặc một câu trong khối concept IPEV ở s12 liệt kê đủ ba mục tiêu của bộ hướng dẫn (nhất quán trên thị trường vốn tư nhân · củng cố niềm tin nhà đầu tư · khớp chuẩn mực báo cáo tài chính), tách bạch với ba nguyên tắc lõi.</t>
  </si>
  <si>
    <t xml:space="preserve">1.5.4</t>
  </si>
  <si>
    <t xml:space="preserve">Guidance on Environmental, Social and Governance Information Requests for</t>
  </si>
  <si>
    <t xml:space="preserve">s11, s12, synthesis, quiz:Q12</t>
  </si>
  <si>
    <t xml:space="preserve">2.1</t>
  </si>
  <si>
    <t xml:space="preserve">Need of business valuation in capital markets transactions</t>
  </si>
  <si>
    <t xml:space="preserve">s1</t>
  </si>
  <si>
    <t xml:space="preserve">2.1.1</t>
  </si>
  <si>
    <t xml:space="preserve">Why business valuation is required?</t>
  </si>
  <si>
    <t xml:space="preserve">2.1.2</t>
  </si>
  <si>
    <t xml:space="preserve">Typical triggers for business valuation in capital markets</t>
  </si>
  <si>
    <t xml:space="preserve">s2, quiz:Q19</t>
  </si>
  <si>
    <t xml:space="preserve">Bảng 2.1 tái hiện đủ 7 dòng, nhưng 4 trong 6 ví dụ minh họa của sách bị bỏ: ví dụ IPO công ty công nghệ (khoảng giá chào, cáo bạch, so chuẩn với công ty niêm yết tương đương, rủi ro ế hàng nếu định giá sai), ví dụ giao dịch với người có liên quan của chủ đầu tư bất động sản, ví dụ rút niêm yết 1,80 đô một cổ phần, và ví dụ tách mảng logistics — riêng ví dụ tách công ty còn mang hai điểm dạy được không có ở đâu khác: định giá dùng để chốt SỐ CỔ PHẦN phát hành ở pháp nhân mới và giá trị ngầm định của mảng tách ra</t>
  </si>
  <si>
    <t xml:space="preserve">Thêm 2 case ở s2 (IPO và tách công ty) và một dòng bảng cho ví dụ rút niêm yết, nêu rõ số cổ phần phát hành + giá trị ngầm định là hai kết quả của định giá khi tách công ty</t>
  </si>
  <si>
    <t xml:space="preserve">2.2</t>
  </si>
  <si>
    <t xml:space="preserve">Bases of value adopted in public domain valuations</t>
  </si>
  <si>
    <t xml:space="preserve">s3, s4, s5, synthesis, quiz:Q1, quiz:Q2, quiz:Q5, quiz:Q8, quiz:Q13, quiz:Q14, quiz:Q23</t>
  </si>
  <si>
    <t xml:space="preserve">Năm trong sáu cơ sở có trích định nghĩa IVS (A10.01, A30.01, A40.01, A70.01) nhưng RIÊNG liquidation value không có định nghĩa IVS102 A60.01 ở bất kỳ đâu — mất luôn yếu tố định nghĩa “người bán bị buộc phải bán tại một ngày xác định”. Thiếu tiếp: yếu tố “ngăn việc làm giàu bất chính” trong equitable value, và 2 trong 4 chức năng của liquidation value ở công bố công khai (làm căn cứ quyết định cho tòa và cơ quan quản lý; công bố rủi ro cho nhà đầu tư)</t>
  </si>
  <si>
    <t xml:space="preserve">Thêm một block quote ở s4 trích định nghĩa liquidation value IVS102 A60.01 kèm cụm “bị buộc phải bán tại một ngày xác định”, và bổ sung 2 gạch đầu dòng còn thiếu vào callout về vai trò của liquidation value</t>
  </si>
  <si>
    <t xml:space="preserve">2.3</t>
  </si>
  <si>
    <t xml:space="preserve">Valuation outcome required (enterprise and equity value)</t>
  </si>
  <si>
    <t xml:space="preserve">s6, synthesis, viz:ev-equity-bridge, calc:ev-equity-bridge, calc:ev-equity-calc, quiz:Q11, quiz:Q15</t>
  </si>
  <si>
    <t xml:space="preserve">2.4</t>
  </si>
  <si>
    <t xml:space="preserve">Regulatory framework governing business valuations of public listed</t>
  </si>
  <si>
    <t xml:space="preserve">s7</t>
  </si>
  <si>
    <t xml:space="preserve">2.4.1</t>
  </si>
  <si>
    <t xml:space="preserve">Role of listing rules in valuation context</t>
  </si>
  <si>
    <t xml:space="preserve">s7, synthesis, quiz:Q3, quiz:Q12</t>
  </si>
  <si>
    <t xml:space="preserve">2.4.2</t>
  </si>
  <si>
    <t xml:space="preserve">Disclosure requirements for valuations</t>
  </si>
  <si>
    <t xml:space="preserve">s8, synthesis, quiz:Q4</t>
  </si>
  <si>
    <t xml:space="preserve">2.4.3</t>
  </si>
  <si>
    <t xml:space="preserve">Role and responsibilities of the Board of Directors</t>
  </si>
  <si>
    <t xml:space="preserve">s8, synthesis, quiz:Q21</t>
  </si>
  <si>
    <t xml:space="preserve">2.4.4</t>
  </si>
  <si>
    <t xml:space="preserve">Independence and professional standards of valuers</t>
  </si>
  <si>
    <t xml:space="preserve">s7, s8</t>
  </si>
  <si>
    <t xml:space="preserve">2.4.5</t>
  </si>
  <si>
    <t xml:space="preserve">Interaction with other disclosure and governance requirements</t>
  </si>
  <si>
    <t xml:space="preserve">Cả ba mối liên hệ của mục này đều không có: (1) chuẩn mực báo cáo tài chính đòi CÔNG BỐ giá trị hợp lý — s7 chỉ nói định giá “phải theo chuẩn mực báo cáo tài chính”, không nói tới nghĩa vụ công bố; (2) bộ quy tắc quản trị công ty nhấn mạnh minh bạch và giám sát độc lập — không xuất hiện ở đâu trong chương; (3) quy định công bố thông tin thị trường buộc công bố KỊP THỜI thông tin trọng yếu — không xuất hiện ở đâu trong chương</t>
  </si>
  <si>
    <t xml:space="preserve">Thêm một deflist 3 mục ở cuối s8 nêu ba khung tương tác (chuẩn mực báo cáo tài chính · bộ quy tắc quản trị công ty · quy định công bố kịp thời thông tin trọng yếu) kèm câu chốt là ba khung này cộng lại mới bảo đảm nhà đầu tư nhận được thông tin tin cậy</t>
  </si>
  <si>
    <t xml:space="preserve">2.4.6</t>
  </si>
  <si>
    <t xml:space="preserve">SGX RegCo collaboration with IVAS</t>
  </si>
  <si>
    <t xml:space="preserve">s8, synthesis, quiz:Q20, quiz:Q22</t>
  </si>
  <si>
    <t xml:space="preserve">Bản ghi nhớ SGX RegCo–IVAS và ví dụ thâu tóm ngược có đủ, nhưng thiếu hai khối: (1) bốn mục tiêu của khung pháp lý mà sách liệt kê thành danh sách — bảo vệ nhà đầu tư, minh bạch thị trường, trách nhiệm giải trình của doanh nghiệp, liêm chính nghề nghiệp (không cụm nào xuất hiện trong chương); (2) Ví dụ minh họa 1 (thương vụ mua lại lớn): cổ đông phải BIỂU QUYẾT dựa trên công bố đầy đủ có kèm báo cáo định giá độc lập, và thông tư phải có thêm dự báo tài chính, phân tích độ nhạy và yếu tố rủi ro — ba thứ này không nằm trong bảng công bố ở s8</t>
  </si>
  <si>
    <t xml:space="preserve">Thêm một callout bốn mục tiêu của khung pháp lý ở s8, và bổ sung ba dòng “dự báo tài chính · phân tích độ nhạy · yếu tố rủi ro” vào bảng nội dung phải công bố kèm ghi chú rằng cổ đông biểu quyết dựa trên bộ công bố này</t>
  </si>
  <si>
    <t xml:space="preserve">2.5</t>
  </si>
  <si>
    <t xml:space="preserve">Role of IFA and what constitutes a ‘fair and reasonable’ offer</t>
  </si>
  <si>
    <t xml:space="preserve">s7, s9</t>
  </si>
  <si>
    <t xml:space="preserve">Chương chỉ đặt IFA trong bối cảnh thâu tóm. Thiếu câu của sách rằng IFA còn được yêu cầu trong GIAO DỊCH VỚI NGƯỜI CÓ LIÊN QUAN và RÚT NIÊM YẾT (bảng ở s2 có dòng rút niêm yết nhưng không nhắc IFA), thiếu việc IFA hoạt động theo cả ba nguồn cùng lúc — SIC Practice Statement, quy định niêm yết SGX và luật liên quan — và thiếu chỉ dẫn SIC Practice Statement được in tại Phụ lục A</t>
  </si>
  <si>
    <t xml:space="preserve">Thêm một dòng mở đầu ở s9 liệt kê ba loại giao dịch cần IFA (thâu tóm · giao dịch với người có liên quan · rút niêm yết) và nêu SIC Practice Statement nằm ở Phụ lục A</t>
  </si>
  <si>
    <t xml:space="preserve">2.5.1</t>
  </si>
  <si>
    <t xml:space="preserve">Role and responsibilities of an IFA in takeover transactions</t>
  </si>
  <si>
    <t xml:space="preserve">s9, synthesis</t>
  </si>
  <si>
    <t xml:space="preserve">2.5.2</t>
  </si>
  <si>
    <t xml:space="preserve">Concept of a ‘Fair and Reasonable’ Offer</t>
  </si>
  <si>
    <t xml:space="preserve">s10, synthesis, quiz:Q6, quiz:Q7, quiz:Q17, quiz:Q18</t>
  </si>
  <si>
    <t xml:space="preserve">2.5.3</t>
  </si>
  <si>
    <t xml:space="preserve">Typical elements assessed by the IFA</t>
  </si>
  <si>
    <t xml:space="preserve">s11, synthesis, quiz:Q16, quiz:Q24</t>
  </si>
  <si>
    <t xml:space="preserve">2.6</t>
  </si>
  <si>
    <t xml:space="preserve">Regulatory framework governing valuation of business and intangible assets</t>
  </si>
  <si>
    <t xml:space="preserve">s12</t>
  </si>
  <si>
    <t xml:space="preserve">2.6.1</t>
  </si>
  <si>
    <t xml:space="preserve">Objectives of the regulatory framework</t>
  </si>
  <si>
    <t xml:space="preserve">s12, synthesis</t>
  </si>
  <si>
    <t xml:space="preserve">2.6.2</t>
  </si>
  <si>
    <t xml:space="preserve">Key regulatory sources</t>
  </si>
  <si>
    <t xml:space="preserve">s12, synthesis, quiz:Q9</t>
  </si>
  <si>
    <t xml:space="preserve">Đủ 6 trường hợp luật thuế trong nước bắt định giá và đủ phần OECD, nhưng thiếu vế NGƯỜI NỘP THUẾ của nguyên tắc ngang giá thị trường: rủi ro bị ĐÁNH THUẾ TRÙNG VỀ MẶT KINH TẾ khi hai nước bất đồng về mức thù lao ngang giá thị trường cho cùng một giao dịch xuyên biên giới — chương chỉ nêu vế của cơ quan thuế (chống bào mòn cơ sở tính thuế)</t>
  </si>
  <si>
    <t xml:space="preserve">Thêm một câu vào ô “Hướng dẫn thuế quốc tế” của bảng ở s12: chuyển giá sai còn khiến chính người nộp thuế bị đánh thuế trùng khi hai nước chốt hai mức giá khác nhau</t>
  </si>
  <si>
    <t xml:space="preserve">2.6.3</t>
  </si>
  <si>
    <t xml:space="preserve">Professional valuation standards and guidance</t>
  </si>
  <si>
    <t xml:space="preserve">Có PMOs, IVS, hướng dẫn thực hành của hội nghề và bản hướng dẫn IRAS (2018, mới sửa đổi), nhưng không nêu bản hướng dẫn đó dùng để làm gì: tiêu chí xin KHẤU TRỪ DẦN THEO NĂM (writing-down allowances, WDA) trên quyền sở hữu trí tuệ, và cách xác định CHI PHÍ ĐỦ ĐIỀU KIỆN (qualifying expenditure) — cả hai thuật ngữ không xuất hiện trong chương</t>
  </si>
  <si>
    <t xml:space="preserve">Bổ sung vào ô “Hướng dẫn hành chính của cơ quan thuế” ở s12 hai cụm WDA và chi phí đủ điều kiện, kèm câu bản hướng dẫn nêu rõ khi nào cần báo cáo định giá độc lập và cần thông tin gì</t>
  </si>
  <si>
    <t xml:space="preserve">2.6.4</t>
  </si>
  <si>
    <t xml:space="preserve">Conceptual valuation approaches accepted by regulators</t>
  </si>
  <si>
    <t xml:space="preserve">s12, viz:approach-tree</t>
  </si>
  <si>
    <t xml:space="preserve">2.6.5</t>
  </si>
  <si>
    <t xml:space="preserve">Documentation and compliance requirements</t>
  </si>
  <si>
    <t xml:space="preserve">s12, synthesis, quiz:Q10, quiz:Q25</t>
  </si>
  <si>
    <t xml:space="preserve">Đủ 7 loại hồ sơ, 4 quyền của cơ quan thuế, 8 loại IP đủ điều kiện, định nghĩa open market value và số 1,0 triệu SGD. Thiếu ba thứ: (1) bốn tài liệu cụ thể phải giữ cho hồ sơ Mục 19B — báo cáo định giá chuyên nghiệp, bằng chứng về mức phí bản quyền chuẩn hoặc giao dịch so sánh, dự báo tài chính đã dùng, và chứng từ chứng minh IP được dùng trong hoạt động kinh doanh của người nộp thuế; (2) câu sách chốt rằng CÁCH TIẾP CẬN THU NHẬP hay được dùng nhất cho IP vì giá trị IP đến từ khả năng sinh lời tương lai; (3) bốn phẩm chất mà người định giá cho mục đích thuế phải giữ — độc lập, năng lực chuyên môn, minh bạch, giả định hợp lý</t>
  </si>
  <si>
    <t xml:space="preserve">Thêm một deflist 4 mục ở s12 liệt kê tài liệu chứng minh riêng cho Mục 19B, một dòng nêu income approach là cách hay dùng nhất cho IP, và một dòng bốn phẩm chất của người định giá cho mục đích thuế</t>
  </si>
  <si>
    <t xml:space="preserve">3.1</t>
  </si>
  <si>
    <t xml:space="preserve">What is the market approach?</t>
  </si>
  <si>
    <t xml:space="preserve">s1, synthesis, viz:approach-tree, quiz:Q1</t>
  </si>
  <si>
    <t xml:space="preserve">3.2</t>
  </si>
  <si>
    <t xml:space="preserve">When to use the market approach?</t>
  </si>
  <si>
    <t xml:space="preserve">s2, synthesis, viz:approach-tree, quiz:Q2</t>
  </si>
  <si>
    <t xml:space="preserve">3.3</t>
  </si>
  <si>
    <t xml:space="preserve">How do we apply the market approach?</t>
  </si>
  <si>
    <t xml:space="preserve">s3, s12, synthesis, viz:market-eight-steps, quiz:Q7, quiz:Q12, quiz:Q24</t>
  </si>
  <si>
    <t xml:space="preserve">3.3.1</t>
  </si>
  <si>
    <t xml:space="preserve">Application of GPCM</t>
  </si>
  <si>
    <t xml:space="preserve">s4, synthesis, viz:levels-of-value, quiz:Q3</t>
  </si>
  <si>
    <t xml:space="preserve">3.3.2</t>
  </si>
  <si>
    <t xml:space="preserve">Application of CTM</t>
  </si>
  <si>
    <t xml:space="preserve">s4, s10, synthesis, viz:levels-of-value, quiz:Q4, quiz:Q21, quiz:Q22</t>
  </si>
  <si>
    <t xml:space="preserve">Thiếu hẳn bước 'loại thương vụ có hoàn cảnh bất thường' trong danh sách bước của CTM ở s4: ngoại lệ GIAO DỊCH VỚI BÊN LIÊN QUAN (related-party transactions) không xuất hiện ở bất kỳ đâu trong toàn bộ nội dung ch3 (0 lần trong knowledge/synthesis/quiz), chỉ có ca bán tháo ComTrans 5 nằm trong case 3.5. Cũng thiếu câu lý giải gốc 'bội số CTM phần lớn rút từ thương vụ do doanh nghiệp NIÊM YẾT thực hiện' — chỗ giải thích vì sao CTM mặc định là mức kiểm soát.</t>
  </si>
  <si>
    <t xml:space="preserve">Thêm một gạch đầu dòng vào khối concept CTM ở s4: loại thương vụ bán tháo VÀ giao dịch với bên liên quan vì giá không phản ánh mức bình thường, kèm một câu nêu nguồn bội số CTM là thương vụ do bên niêm yết mua kiểm soát.</t>
  </si>
  <si>
    <t xml:space="preserve">3.3.3</t>
  </si>
  <si>
    <t xml:space="preserve">Selecting appropriate comparable companies and transactions</t>
  </si>
  <si>
    <t xml:space="preserve">s5, synthesis</t>
  </si>
  <si>
    <t xml:space="preserve">3.3.4</t>
  </si>
  <si>
    <t xml:space="preserve">Determining common valuation multiples</t>
  </si>
  <si>
    <t xml:space="preserve">s6, synthesis, quiz:Q5, quiz:Q6, quiz:Q19</t>
  </si>
  <si>
    <t xml:space="preserve">3.3.5</t>
  </si>
  <si>
    <t xml:space="preserve">Normalised financials and application of multiples</t>
  </si>
  <si>
    <t xml:space="preserve">s7, s6, synthesis, calc:norm-ebitda, quiz:Q9, quiz:Q20, quiz:Q23</t>
  </si>
  <si>
    <t xml:space="preserve">3.4</t>
  </si>
  <si>
    <t xml:space="preserve">Practical issues when applying the market approach</t>
  </si>
  <si>
    <t xml:space="preserve">KHÔNG CẦN</t>
  </si>
  <si>
    <t xml:space="preserve">Lý do: mục 3.4 trong nguồn chỉ có đúng dòng tiêu đề 'Practical issues when applying the market approach' (8 từ), không mang nội dung thi; toàn bộ nội dung nằm ở 3.4.1–3.4.3.</t>
  </si>
  <si>
    <t xml:space="preserve">3.4.1</t>
  </si>
  <si>
    <t xml:space="preserve">Judgement areas and limitations</t>
  </si>
  <si>
    <t xml:space="preserve">s8, synthesis</t>
  </si>
  <si>
    <t xml:space="preserve">3.4.2</t>
  </si>
  <si>
    <t xml:space="preserve">Data sources for market evidence and reliability considerations</t>
  </si>
  <si>
    <t xml:space="preserve">s8, quiz:Q11</t>
  </si>
  <si>
    <t xml:space="preserve">3.4.3</t>
  </si>
  <si>
    <t xml:space="preserve">Advantages and disadvantages of market approach</t>
  </si>
  <si>
    <t xml:space="preserve">s8, quiz:Q10</t>
  </si>
  <si>
    <t xml:space="preserve">3.5</t>
  </si>
  <si>
    <t xml:space="preserve">Valuation case example</t>
  </si>
  <si>
    <t xml:space="preserve">s9, s10, s11, s12, synthesis, viz:market-eight-steps, viz:ev-equity-bridge, calc:norm-ebitda, calc:ev-equity-bridge, calc:ev-equity-calc, quiz:Q8, quiz:Q13, quiz:Q14, quiz:Q15, quiz:Q16, quiz:Q17, quiz:Q18, quiz:Q21, quiz:Q22, quiz:Q25</t>
  </si>
  <si>
    <t xml:space="preserve">Table 3.3 chỉ tái hiện 4/12 dòng (bỏ số liệu ComCo 5–12) và bỏ hẳn hai cột EV/Revenue (dải 0,3–3,8 lần) cùng Current Ratio (1,0–3,0 lần) — người học không thấy dải bội số thô 6,0–15,0 lần trước sàng lọc nên bước 6 'soi phân bố và điểm dị biệt' mất dữ liệu để soi. Table 3.4 chỉ tái hiện 4/8 dòng (bỏ bội số của ComTrans 6 là 11,2×, ComTrans 7 là 7,5× và ComTrans 8 là 12,0×/18,0×) và bỏ cột 'Acquiree Characteristics' của 4 giao dịch được giữ. Không có mô tả hoạt động của 4 công ty ĐƯỢC GIỮ (25/35/18/22 outlet; chi tiêu bình quân 28/18/32/22 SGD một khách) — HTML chỉ có lý do LOẠI, không có lý do GIỮ. Phản hồi câu ôn tập 3 mất hai điểm chốt: vị trí trụ sở chính không quyết định tính so sánh mà là nước có hoạt động, và khác biệt chính sách kế toán xử lý được bằng điều chỉnh nên không phải căn cứ loại (0 lần xuất hiện trong ch3). Bước 2 của case (valuer phân tích ngành và môi trường kinh tế rồi kết luận chọn cách tiếp cận thị trường) bị bỏ.</t>
  </si>
  <si>
    <t xml:space="preserve">Dựng lại đủ Table 3.3 12 dòng kèm cột EV/Revenue và Current Ratio, Table 3.4 8 dòng kèm cột đặc điểm bên bị mua, thêm một cột mô tả một dòng cho 4 đối tượng được giữ, và thêm một khối nêu hai điểm của câu ôn tập 3 (trụ sở chính vs nước hoạt động; khác biệt kế toán xử lý bằng điều chỉnh).</t>
  </si>
  <si>
    <t xml:space="preserve">4.1</t>
  </si>
  <si>
    <t xml:space="preserve">What is the income approach?</t>
  </si>
  <si>
    <t xml:space="preserve">s1, s2, viz:dcf-six-steps</t>
  </si>
  <si>
    <t xml:space="preserve">4.2</t>
  </si>
  <si>
    <t xml:space="preserve">When to use the income approach?</t>
  </si>
  <si>
    <t xml:space="preserve">s2, s3, synthesis, viz:discount-rate-tree, quiz:Q1, quiz:Q2</t>
  </si>
  <si>
    <t xml:space="preserve">4.3</t>
  </si>
  <si>
    <t xml:space="preserve">How do we apply the income approach?</t>
  </si>
  <si>
    <t xml:space="preserve">s2, viz:dcf-six-steps</t>
  </si>
  <si>
    <t xml:space="preserve">4.3.1</t>
  </si>
  <si>
    <t xml:space="preserve">Cash flow definitions in income approach</t>
  </si>
  <si>
    <t xml:space="preserve">s3, synthesis, viz:discount-rate-tree, quiz:Q1, quiz:Q2</t>
  </si>
  <si>
    <t xml:space="preserve">4.3.2</t>
  </si>
  <si>
    <t xml:space="preserve">Discounting convention and impact on present value calculations</t>
  </si>
  <si>
    <t xml:space="preserve">s4, synthesis, calc:midyear-dcf, quiz:Q3, quiz:Q18</t>
  </si>
  <si>
    <t xml:space="preserve">Không nêu câu của sách rằng trong thực tế quy ước giữa kỳ ĐƯỢC DÙNG NHIỀU HƠN quy ước cuối kỳ khi dòng tiền phát sinh rải trong năm. HTML chỉ nói giữa kỳ 'mô tả đúng thực tế' và cho hiện giá cao hơn, không nói cái nào phổ biến hơn — đề thi hỏi thẳng 'quy ước nào thông dụng hơn trong thực hành' thì không có căn cứ trả lời.</t>
  </si>
  <si>
    <t xml:space="preserve">Thêm một mệnh đề vào concept đầu s4: 'trong thực hành quy ước giữa kỳ được dùng nhiều hơn quy ước cuối kỳ khi dòng tiền phát sinh đều trong năm'.</t>
  </si>
  <si>
    <t xml:space="preserve">4.3.3</t>
  </si>
  <si>
    <t xml:space="preserve">Currency choices, exchange rates and inflation: Implications for cash flows and</t>
  </si>
  <si>
    <t xml:space="preserve">s4, synthesis, quiz:Q7, quiz:Q12</t>
  </si>
  <si>
    <t xml:space="preserve">4.3.4</t>
  </si>
  <si>
    <t xml:space="preserve">Determining discount rates: Capital Asset Pricing Model (CAPM), Arbitrage</t>
  </si>
  <si>
    <t xml:space="preserve">s3 (Bảng 4.1), s5, s6, s7, synthesis, viz:discount-rate-tree, calc:hamada-capm-wacc, calc:wacc-calc, quiz:Q4, quiz:Q5, quiz:Q6, quiz:Q13, quiz:Q14, quiz:Q21, quiz:Q22, quiz:Q23</t>
  </si>
  <si>
    <t xml:space="preserve">Thiếu ĐỊNH NGHĨA HÌNH THỨC CỦA RỦI RO mà sách nêu trước khi vào ba mô hình: 'rủi ro là mức độ không chắc chắn của lợi suất thực tế so với lợi suất kỳ vọng, nói chính xác là ĐỘ LỆCH CHUẨN của lợi suất thực tế quanh lợi suất kỳ vọng' — cụm 'độ lệch chuẩn' không xuất hiện ở bất kỳ đâu trong ch4 (đếm: 0 lần trên cả 5 file). Hai chi tiết nhỏ hơn cũng vắng: tên nhà cung cấp dữ liệu beta mà sách nêu đích danh (Yahoo Finance, Bloomberg), và việc các công ty dịch vụ nghiên cứu có công bố sẵn số liệu phần bù rủi ro của BUM cho các thị trường phát triển.</t>
  </si>
  <si>
    <t xml:space="preserve">Thêm một dòng deflist ở s5 định nghĩa rủi ro bằng độ lệch chuẩn của lợi suất quanh kỳ vọng (đặt ngay trước cặp rủi ro hệ thống / phi hệ thống), và chèn tên Yahoo Finance, Bloomberg vào warn 'Ba bẫy quanh beta' của s6.</t>
  </si>
  <si>
    <t xml:space="preserve">4.3.5</t>
  </si>
  <si>
    <t xml:space="preserve">Determining WACC: inputs and considerations</t>
  </si>
  <si>
    <t xml:space="preserve">s8, synthesis, viz:discount-rate-tree, calc:hamada-capm-wacc, calc:wacc-calc, quiz:Q11, quiz:Q15, quiz:Q22, quiz:Q23</t>
  </si>
  <si>
    <t xml:space="preserve">4.3.6</t>
  </si>
  <si>
    <t xml:space="preserve">Terminal value and long-term growth rate determination</t>
  </si>
  <si>
    <t xml:space="preserve">s9, synthesis, calc:terminal-value, calc:tv-calc, quiz:Q8, quiz:Q16, quiz:Q24, quiz:Q25</t>
  </si>
  <si>
    <t xml:space="preserve">Nhánh giá trị thanh lý chỉ liệt kê CHI PHÍ thanh lý, không nêu CƠ SỞ ƯỚC GIÁ TRỊ THU HỒI mà sách dành hẳn một đoạn: giá trị thu hồi phải ước theo bằng chứng thị trường, theo giá trị thuần có thể thực hiện được sau khi tính tình trạng và mức lỗi thời của tài sản, và trong hầu hết trường hợp phải phản ánh một cuộc THANH LÝ CÓ TRẬT TỰ giả định (hypothetical orderly disposal) trừ khi hoàn cảnh buộc khác. Kiểm: 'thanh lý có trật tự', 'giá trị thuần có thể thực hiện', 'lỗi thời' đều 0 lần trong ch4. Nhánh exit multiple cũng thiếu yêu cầu chỉ tiêu năm cuối phải được CHUẨN HOÁ và BỀN VỮNG.</t>
  </si>
  <si>
    <t xml:space="preserve">Thêm 2–3 câu vào ô 'Salvage value' của three_col ở s9 nêu: bằng chứng thị trường, giá trị thuần có thể thực hiện, tình trạng và lỗi thời, mặc định thanh lý có trật tự; và thêm cụm 'chỉ tiêu năm cuối phải chuẩn hoá và bền vững' vào ô 'Exit multiple'.</t>
  </si>
  <si>
    <t xml:space="preserve">4.3.7</t>
  </si>
  <si>
    <t xml:space="preserve">Carry-forward tax losses: valuation implications across approaches</t>
  </si>
  <si>
    <t xml:space="preserve">s10, synthesis, quiz:Q10, quiz:Q20</t>
  </si>
  <si>
    <t xml:space="preserve">Không tái hiện BẢNG DÒNG TIỀN 5 NĂM của ví dụ minh hoạ: sách cho EBIT 60/80/110/150/200, thuế 0/0/0/(30)/(40), khấu hao 10/10/10/10/20, đầu tư (30)/(30)/(35)/(35)/(50) rồi mới ra FCFF 40/60/85/95/130. HTML chỉ chép dòng FCFF cuối cùng, nên mất chính chỗ nhìn thấy được cơ chế: ba năm đầu thuế bằng 0, còn năm 4 và 5 thuế đúng bằng 20% × EBIT. Ngoài ra ở cách tiếp cận tài sản, HTML mô tả DTA 'định giá theo tiềm năng kinh tế' chứ không nói thẳng cơ sở định giá là GIÁ TRỊ HIỆN TẠI CỦA KHOẢN TIẾT KIỆM THUẾ dự kiến như sách.</t>
  </si>
  <si>
    <t xml:space="preserve">Thêm một block table ở s10 chép đủ 5 dòng EBIT / thuế / khấu hao / đầu tư / FCFF cho 5 năm, và sửa ô 'Tài sản' của bảng ba cách tiếp cận thành 'định giá bằng giá trị hiện tại của khoản tiết kiệm thuế dự kiến'.</t>
  </si>
  <si>
    <t xml:space="preserve">4.3.8</t>
  </si>
  <si>
    <t xml:space="preserve">Tax incentive schemes and implications in determination of WACC</t>
  </si>
  <si>
    <t xml:space="preserve">s10, synthesis, quiz:Q9, quiz:Q19</t>
  </si>
  <si>
    <t xml:space="preserve">Thiếu 1 trong 4 'Key Aspects' của Pioneer Status mà sách liệt kê thành gạch đầu dòng: TRỢ CẤP VỐN / KHẤU HAO THUẾ (capital allowances) trong kỳ miễn thuế nói chung không cần dùng vì thu nhập đã được miễn, nhưng vẫn phải theo dõi để chuyển sang các năm SAU kỳ ưu đãi (đếm: 'capital allowance', 'trợ cấp vốn', 'khấu hao thuế' đều 0 lần). Cũng thiếu câu mở đầu của mục nêu ưu đãi thuế gồm BA dạng — pioneer status, THUẾ SUẤT ƯU ĐÃI (concessionary tax rate) và KỲ MIỄN THUẾ (tax holiday); HTML chỉ nói về pioneer status.</t>
  </si>
  <si>
    <t xml:space="preserve">Thêm dòng 'Trợ cấp vốn: trong kỳ miễn thuế không dùng đến nhưng vẫn theo dõi để chuyển sang các năm sau ưu đãi' vào diagram_text ưu đãi thuế ở s10, và một câu mở nêu đủ ba dạng ưu đãi.</t>
  </si>
  <si>
    <t xml:space="preserve">4.4</t>
  </si>
  <si>
    <t xml:space="preserve">Practical issues when applying the income approach</t>
  </si>
  <si>
    <t xml:space="preserve">s11</t>
  </si>
  <si>
    <t xml:space="preserve">Lý do: mục chỉ là câu chuyển 50 chữ dẫn vào 4.4.1–4.4.11 ('DCF vững về lý thuyết nhưng rất nhạy với giả định, người định giá gặp thách thức về dữ liệu, mô hình và phán đoán'), không có quy tắc, ngưỡng, công thức hay số liệu riêng nào để hỏi. Ý này dù sao cũng đã nằm trong concept 'Sợi chỉ xuyên suốt' của s11.</t>
  </si>
  <si>
    <t xml:space="preserve">4.4.1</t>
  </si>
  <si>
    <t xml:space="preserve">Reliability of forecasts</t>
  </si>
  <si>
    <t xml:space="preserve">s11 (bảng thực hành, dòng 4.4.1)</t>
  </si>
  <si>
    <t xml:space="preserve">Bỏ mất một trong ba nguồn gây kém tin cậy mà sách nêu: YẾU TỐ BÊN NGOÀI — lãi suất, lạm phát và chu kỳ nhu cầu (đếm: 'chu kỳ nhu cầu' 0 lần). HTML chỉ giữ hai nguồn còn lại là thiên lệch của ban điều hành và doanh nghiệp ít lịch sử / vừa đổi mô hình.</t>
  </si>
  <si>
    <t xml:space="preserve">Thêm cụm 'và các yếu tố bên ngoài như lãi suất, lạm phát, chu kỳ nhu cầu' vào ô rủi ro của dòng 4.4.1 trong bảng s11.</t>
  </si>
  <si>
    <t xml:space="preserve">4.4.2</t>
  </si>
  <si>
    <t xml:space="preserve">Normalisation of earnings</t>
  </si>
  <si>
    <t xml:space="preserve">s11 (bảng thực hành, dòng 4.4.2)</t>
  </si>
  <si>
    <t xml:space="preserve">4.4.3</t>
  </si>
  <si>
    <t xml:space="preserve">Estimation of discount rate</t>
  </si>
  <si>
    <t xml:space="preserve">s11 (bảng thực hành, dòng 4.4.3), s5, s6, s7</t>
  </si>
  <si>
    <t xml:space="preserve">4.4.4</t>
  </si>
  <si>
    <t xml:space="preserve">Terminal value assumptions</t>
  </si>
  <si>
    <t xml:space="preserve">s11 (bảng thực hành, dòng 4.4.4), s9</t>
  </si>
  <si>
    <t xml:space="preserve">4.4.5</t>
  </si>
  <si>
    <t xml:space="preserve">Consistency between inputs</t>
  </si>
  <si>
    <t xml:space="preserve">s11 (bảng thực hành, dòng 4.4.5), s4, synthesis</t>
  </si>
  <si>
    <t xml:space="preserve">4.4.6</t>
  </si>
  <si>
    <t xml:space="preserve">Treatment of non-operating items</t>
  </si>
  <si>
    <t xml:space="preserve">s11 (bảng thực hành dòng 4.4.6 + warn tính hai lần), viz:ev-equity-bridge, quiz:Q21</t>
  </si>
  <si>
    <t xml:space="preserve">4.4.7</t>
  </si>
  <si>
    <t xml:space="preserve">Working capital and capital expenditure assumptions</t>
  </si>
  <si>
    <t xml:space="preserve">s11 (bảng thực hành, dòng 4.4.7)</t>
  </si>
  <si>
    <t xml:space="preserve">Chỉ giữ vế chi đầu tư (tách duy trì khỏi mở rộng) và vế tăng trưởng phải đi cùng tái đầu tư; bỏ hẳn vế VỐN LƯU ĐỘNG mà tiêu đề mục hứa: sách nói ước lượng nhu cầu vốn lưu động khó vì chu kỳ phải thu, phải trả và tồn kho biến động. Trong ch4, 'phải thu' và 'tồn kho' chỉ xuất hiện ở bảng cân đối Co A, không ở đâu nói về khó khăn mô hình hoá chu kỳ vốn lưu động.</t>
  </si>
  <si>
    <t xml:space="preserve">Thêm cụm 'mô hình hoá chu kỳ vốn lưu động khó vì phải thu, phải trả, tồn kho biến động' vào ô rủi ro của dòng 4.4.7 trong bảng s11.</t>
  </si>
  <si>
    <t xml:space="preserve">4.4.8</t>
  </si>
  <si>
    <t xml:space="preserve">Tax related considerations</t>
  </si>
  <si>
    <t xml:space="preserve">s11 (bảng thực hành, dòng 4.4.8), s10</t>
  </si>
  <si>
    <t xml:space="preserve">4.4.9</t>
  </si>
  <si>
    <t xml:space="preserve">Data limitations for private companies</t>
  </si>
  <si>
    <t xml:space="preserve">s11 (bảng thực hành, dòng 4.4.9)</t>
  </si>
  <si>
    <t xml:space="preserve">4.4.10</t>
  </si>
  <si>
    <t xml:space="preserve">Sensitivity and scenario analysis</t>
  </si>
  <si>
    <t xml:space="preserve">s11 (bảng thực hành, dòng 4.4.10), s12 (bảng độ nhạy 4.8), synthesis</t>
  </si>
  <si>
    <t xml:space="preserve">4.4.11</t>
  </si>
  <si>
    <t xml:space="preserve">Advantages and disadvantages of income approach</t>
  </si>
  <si>
    <t xml:space="preserve">s11 (two_col ưu/nhược + callout kết luận)</t>
  </si>
  <si>
    <t xml:space="preserve">4.5</t>
  </si>
  <si>
    <t xml:space="preserve">s12, synthesis, viz:dcf-six-steps, calc:hamada-capm-wacc, calc:terminal-value, calc:midyear-dcf, calc:tv-calc, calc:wacc-calc, quiz:Q13, quiz:Q15, quiz:Q17, quiz:Q24, quiz:Q25</t>
  </si>
  <si>
    <t xml:space="preserve">Không tái hiện BẢNG 4.4 'Information relating to comparable companies' — 8 công ty (Alpha, Bravo, Gamma, Delta, Epsilon, Zeta, Eta, Theta) với 8 cột: beta vốn chủ, nợ, vốn hoá, D/E, thuế suất, beta tài sản, EV/EBITDA, P/B, cùng dòng trung vị (D/E 0,33 · thuế 17% · beta tài sản 1,11 · EV/EBITDA 12,6 · P/B 5,9) và chú thích 'các bội số này phản ánh lợi ích sở hữu CHI PHỐI'. Kiểm: không tên công ty nào trong 8 tên xuất hiện, '12,5' và '1,43' 0 lần, trung vị P/B 5,9 0 lần; chỉ có 12,6 nằm rải trong calc:terminal-value. Hệ quả: mất bước tự tính beta tài sản của từng công ty so sánh bằng Hamada (chú thích của bảng), mất chỗ thấy trung vị 1,11 được làm tròn thành 1,1 dùng ở Bảng 4.5, và mất cảnh báo bội số là mức chi phối khi đối chiếu chéo ở cuối bài.</t>
  </si>
  <si>
    <t xml:space="preserve">Thêm một block table ở s12 chép đủ Bảng 4.4 (8 dòng × 8 cột + dòng trung vị) kèm hai chú thích của sách (beta tài sản tính bằng Hamada; bội số phản ánh lợi ích chi phối), đặt ngay trước bảng Giả định then chốt.</t>
  </si>
  <si>
    <t xml:space="preserve">5.1</t>
  </si>
  <si>
    <t xml:space="preserve">What is the asset-based approach?</t>
  </si>
  <si>
    <t xml:space="preserve">s1, s2, s5, synthesis, viz:approach-tree, quiz:Q01, quiz:Q02, quiz:Q03, quiz:Q09</t>
  </si>
  <si>
    <t xml:space="preserve">5.2</t>
  </si>
  <si>
    <t xml:space="preserve">When to use the asset-based approach?</t>
  </si>
  <si>
    <t xml:space="preserve">s3, synthesis, viz:approach-tree, quiz:Q13</t>
  </si>
  <si>
    <t xml:space="preserve">5.3</t>
  </si>
  <si>
    <t xml:space="preserve">How do we apply the asset-based approach?</t>
  </si>
  <si>
    <t xml:space="preserve">s1, s4, s5, s6, s7, s8, s9, synthesis, quiz:Q04, quiz:Q07, quiz:Q08, quiz:Q10, quiz:Q11, quiz:Q14, quiz:Q15, quiz:Q16, quiz:Q17, quiz:Q18, quiz:Q24</t>
  </si>
  <si>
    <t xml:space="preserve">5.3.1</t>
  </si>
  <si>
    <t xml:space="preserve">Determining ANAV: going concern premise</t>
  </si>
  <si>
    <t xml:space="preserve">s10, synthesis, calc:anav-tax-drill, quiz:Q24, quiz:Q25</t>
  </si>
  <si>
    <t xml:space="preserve">5.3.2</t>
  </si>
  <si>
    <t xml:space="preserve">Determining ANAV: liquidation premise</t>
  </si>
  <si>
    <t xml:space="preserve">s4, s10, synthesis, calc:anav-tax-drill, quiz:Q05, quiz:Q12, quiz:Q20, quiz:Q25</t>
  </si>
  <si>
    <t xml:space="preserve">5.4</t>
  </si>
  <si>
    <t xml:space="preserve">Practical issues when applying the asset-based approach</t>
  </si>
  <si>
    <t xml:space="preserve">Mục chỉ có một câu dẫn 44 chữ giới thiệu ba tiểu mục 5.4.1–5.4.3 (‘application does present practical issues that valuers must be cognisant of. These include:’) — không có khái niệm, ngưỡng, công thức hay bảng số nào của riêng nó; toàn bộ nội dung thi nằm ở các tiểu mục con.</t>
  </si>
  <si>
    <t xml:space="preserve">5.4.1</t>
  </si>
  <si>
    <t xml:space="preserve">Data quality and expert appraisals</t>
  </si>
  <si>
    <t xml:space="preserve">s5, s12, quiz:Q18</t>
  </si>
  <si>
    <t xml:space="preserve">5.4.2</t>
  </si>
  <si>
    <t xml:space="preserve">Adjustments and judgement areas</t>
  </si>
  <si>
    <t xml:space="preserve">s12, quiz:Q17</t>
  </si>
  <si>
    <t xml:space="preserve">5.4.3</t>
  </si>
  <si>
    <t xml:space="preserve">Premise selection</t>
  </si>
  <si>
    <t xml:space="preserve">s4, s8, s12, quiz:Q13</t>
  </si>
  <si>
    <t xml:space="preserve">5.4.4</t>
  </si>
  <si>
    <t xml:space="preserve">Advantages and disadvantages of asset-based approach</t>
  </si>
  <si>
    <t xml:space="preserve">s2, s3, s12, synthesis, quiz:Q09, quiz:Q13</t>
  </si>
  <si>
    <t xml:space="preserve">5.5</t>
  </si>
  <si>
    <t xml:space="preserve">s9, s11, s12, synthesis, calc:anav-coz, quiz:Q06, quiz:Q13, quiz:Q14, quiz:Q19, quiz:Q21, quiz:Q22, quiz:Q23</t>
  </si>
  <si>
    <t xml:space="preserve">Câu ôn tập số 5 của mục (dòng 1074–1108 của nguồn) không được tái hiện ở bất kỳ đâu: dạng bài trộn hai cơ sở giá trị trong cùng một đề — tài sản hữu hình vận hành 140 ở giá trị hợp lý, tài sản ngoài hoạt động 15 ở giá ghi sổ nhưng bất động sản trong nhóm đó tăng thêm 5 nên vào bảng ở 20, tài sản vô hình MUA VỀ 10, nợ vay 20 ở giá trị hợp lý, nợ thương mại 100 với sổ = hợp lý ⇒ 170 − 120 = 50 triệu. Không có ca nào trong HTML bắt người học vừa phải GIỮ tài sản ngoài hoạt động trong bảng vừa phải áp phần tăng giá cho chính nó (Q14 chỉ hỏi định tính ‘xử lý thế nào’, Q19 chỉ là phép trừ một tầng theo Câu ôn tập 4); chuỗi ký tự ‘170’ không xuất hiện trong cả bốn nguồn ch5 đã kiểm.</t>
  </si>
  <si>
    <t xml:space="preserve">Thêm một ca tính ở calc tab ch5 (kind practice) hoặc một câu long scenario trong quiz đúng đầu bài Câu ôn tập 5: liệt kê 5 dòng ở hai cơ sở khác nhau, cộng phần tăng 5 vào tài sản ngoài hoạt động cho ra 20, rồi 140 + 20 + 10 − 100 − 20 = 50.</t>
  </si>
  <si>
    <t xml:space="preserve">6.1</t>
  </si>
  <si>
    <t xml:space="preserve">Levels of value</t>
  </si>
  <si>
    <t xml:space="preserve">s1, s2, synthesis, viz:levels-of-value, quiz:Q1, quiz:Q12, quiz:Q22</t>
  </si>
  <si>
    <t xml:space="preserve">6.2</t>
  </si>
  <si>
    <t xml:space="preserve">Control premium</t>
  </si>
  <si>
    <t xml:space="preserve">s3, synthesis, calc:control-minority, calc:pd-calc, quiz:Q2, quiz:Q3, quiz:Q13, quiz:Q15, quiz:Q24</t>
  </si>
  <si>
    <t xml:space="preserve">6.3</t>
  </si>
  <si>
    <t xml:space="preserve">Non-controlling (minority) interest discount</t>
  </si>
  <si>
    <t xml:space="preserve">s4, s5, synthesis, calc:control-minority, calc:pd-calc, quiz:Q3, quiz:Q14, quiz:Q16, quiz:Q17</t>
  </si>
  <si>
    <t xml:space="preserve">6.4</t>
  </si>
  <si>
    <t xml:space="preserve">Marketability discount</t>
  </si>
  <si>
    <t xml:space="preserve">s6, s7, synthesis, quiz:Q4, quiz:Q5, quiz:Q6, quiz:Q7, quiz:Q8, quiz:Q24</t>
  </si>
  <si>
    <t xml:space="preserve">Thiếu 2 trong 5 yếu tố hiệu chỉnh DLOM theo đặc thù doanh nghiệp mà sách liệt kê thành gạch đầu dòng: 'quy mô và mức độ tập trung của lô cổ phần' và 'độ biến động của các chỉ tiêu tài chính và kết quả hoạt động' (HTML chỉ tái hiện danh sách kia — hạn chế thời gian nắm giữ, cơ chế thoát vốn, tỷ suất cổ tức, bằng chứng giao dịch tư nhân tương đương; 'độ biến động' chỉ xuất hiện trong dòng Longstaff của bảng mô hình, không phải như một yếu tố hiệu chỉnh). Cũng thiếu câu chốt của sách về nhóm mô hình quyền chọn: 'không phải tất cả đều được cộng đồng hành nghề chấp nhận rộng rãi'.</t>
  </si>
  <si>
    <t xml:space="preserve">Thêm một deflist 5 mục ở s6 liệt kê đủ năm yếu tố hiệu chỉnh DLOM theo đặc thù doanh nghiệp (nhấn hai mục đang thiếu), và thêm một dòng vào bảng mô hình ở s7 ghi rõ các mô hình quyền chọn chưa được giới hành nghề chấp nhận phổ biến.</t>
  </si>
  <si>
    <t xml:space="preserve">6.5</t>
  </si>
  <si>
    <t xml:space="preserve">Blockage discount</t>
  </si>
  <si>
    <t xml:space="preserve">s8, synthesis, quiz:Q9, quiz:Q18</t>
  </si>
  <si>
    <t xml:space="preserve">6.6</t>
  </si>
  <si>
    <t xml:space="preserve">Portfolio discount / Conglomerate discount</t>
  </si>
  <si>
    <t xml:space="preserve">s9, s11, synthesis, quiz:Q19, quiz:Q20</t>
  </si>
  <si>
    <t xml:space="preserve">Thiếu hẳn đoạn của sách về cách định lượng: 'không có quy tắc chung, việc định lượng mang tính chủ quan, mức áp dụng khác nhau giữa các khu vực pháp lý theo điều kiện thị trường, mỗi ca phải phân tích theo dữ kiện riêng' — trong khi câu tương đương của mục 6.5 (blockage) thì HTML có và còn ra thành quiz:Q9. Thiếu thêm danh sách bối cảnh phát sinh chiết khấu danh mục: công ty holding, quỹ đầu tư, tập đoàn có các mảng kinh doanh không liên quan.</t>
  </si>
  <si>
    <t xml:space="preserve">Thêm một warn hoặc tip ở s9 nêu 'không có quy tắc định lượng chung, chủ quan, khác nhau theo khu vực pháp lý, xét theo từng ca' kèm một câu liệt kê ba bối cảnh phát sinh (holding, quỹ đầu tư, tập đoàn đa ngành).</t>
  </si>
  <si>
    <t xml:space="preserve">6.7</t>
  </si>
  <si>
    <t xml:space="preserve">Key person discount</t>
  </si>
  <si>
    <t xml:space="preserve">s10, synthesis, quiz:Q10, quiz:Q21</t>
  </si>
  <si>
    <t xml:space="preserve">6.8</t>
  </si>
  <si>
    <t xml:space="preserve">Classification of discounts and premiums</t>
  </si>
  <si>
    <t xml:space="preserve">s11, synthesis, viz:discount-order, calc:chain-discounts-drill, quiz:Q11</t>
  </si>
  <si>
    <t xml:space="preserve">6.9</t>
  </si>
  <si>
    <t xml:space="preserve">Practical issues when applying discounts and premiums</t>
  </si>
  <si>
    <t xml:space="preserve">Không mang nội dung thi: nguyên mục chỉ có 30 từ, là hai câu dẫn cho các tiểu mục 6.9.1–6.9.4 ('áp dụng chiết khấu và phần bù đòi hỏi đánh giá kỹ lưỡng vì các thách thức thực tiễn; dưới đây là một số thách thức'). Không có khái niệm, ngưỡng, công thức hay bảng số nào riêng. HTML vẫn dựng s12 làm đầu mục cho các tiểu mục.</t>
  </si>
  <si>
    <t xml:space="preserve">6.9.1</t>
  </si>
  <si>
    <t xml:space="preserve">Avoid double counting</t>
  </si>
  <si>
    <t xml:space="preserve">s12, synthesis, quiz:Q21</t>
  </si>
  <si>
    <t xml:space="preserve">6.9.2</t>
  </si>
  <si>
    <t xml:space="preserve">Interrelationship between control and marketability</t>
  </si>
  <si>
    <t xml:space="preserve">s2, s6, synthesis, quiz:Q24</t>
  </si>
  <si>
    <t xml:space="preserve">6.9.3</t>
  </si>
  <si>
    <t xml:space="preserve">Order of application</t>
  </si>
  <si>
    <t xml:space="preserve">s12, synthesis, viz:discount-order, calc:chain-discounts-drill, quiz:Q22, quiz:Q23, quiz:Q24, quiz:Q25</t>
  </si>
  <si>
    <t xml:space="preserve">6.9.4</t>
  </si>
  <si>
    <t xml:space="preserve">Empirical evidence limitations</t>
  </si>
  <si>
    <t xml:space="preserve">7.1</t>
  </si>
  <si>
    <t xml:space="preserve">Non-controlling (minority) interest</t>
  </si>
  <si>
    <t xml:space="preserve">s2, s3</t>
  </si>
  <si>
    <t xml:space="preserve">Mục 7.1 trong sách chỉ là dòng tiêu đề "Non-controlling (minority) interest" (4 từ), không có câu nội dung nào trước khi vào 7.1.1 — không mang điểm thi riêng.</t>
  </si>
  <si>
    <t xml:space="preserve">7.1.1</t>
  </si>
  <si>
    <t xml:space="preserve">Context</t>
  </si>
  <si>
    <t xml:space="preserve">Doanh nghiệp gia đình: sách nêu 4 vùng tranh chấp giữa cổ đông nhỏ và bên nắm quyền, s2 chỉ có 2 (cổ tức, giao dịch bên liên quan) — thiếu "định hướng chiến lược" và "kế hoạch kế nhiệm / chuyển giao lãnh đạo". Đầu tư chiến lược của đối tác doanh nghiệp: sách nêu 4 căn cứ làm giá cao hơn lô tài chính cùng tỷ lệ, HTML chỉ có căn cứ "tiếp cận" (công nghệ, kênh bán, chuỗi cung ứng) — thiếu cộng hưởng thương mại (bán chéo, tiết giảm chi phí, an toàn nguồn cung), thiếu "quyền theo hợp đồng dù không có quyền chi phối", thiếu "gắn kết chiến lược dài hạn trong hệ sinh thái".</t>
  </si>
  <si>
    <t xml:space="preserve">Bổ sung 2 vùng tranh chấp còn thiếu vào ô "Điều làm giá trị lệch" của dòng doanh nghiệp gia đình ở s2, và nâng callout nhà đầu tư chiến lược thành deflist 4 mục đúng 4 căn cứ của sách.</t>
  </si>
  <si>
    <t xml:space="preserve">7.1.2</t>
  </si>
  <si>
    <t xml:space="preserve">Implications for valuation</t>
  </si>
  <si>
    <t xml:space="preserve">s3, synthesis, viz:levels-of-value, quiz:Q1</t>
  </si>
  <si>
    <t xml:space="preserve">7.1.3</t>
  </si>
  <si>
    <t xml:space="preserve">Application of valuation approaches</t>
  </si>
  <si>
    <t xml:space="preserve">s4, s5, synthesis, viz:levels-of-value, viz:discount-order, calc:chain-discounts-drill, quiz:Q2, quiz:Q4, quiz:Q5, quiz:Q13, quiz:Q14, quiz:Q15, quiz:Q16, quiz:Q23</t>
  </si>
  <si>
    <t xml:space="preserve">Thiếu căn cứ thứ ba trong ba căn cứ sách nêu để biện minh chiết khấu cho lô thiểu số theo cách tiếp cận thị trường: điều khoản mua trước (pre-emptive clause) không chỉ cho cổ đông hiện hữu quyền từ chối mua, mà còn cho họ quyền yêu cầu MỘT NGƯỜI ĐỊNH GIÁ ĐỘC LẬP ấn định giá nếu họ cho rằng giá chào là quá cao. Cụm "định giá độc lập" không xuất hiện ở bất kỳ đâu trong knowledge/synthesis/quiz/visual/calc. Đây là cơ chế trực tiếp chặn trần giá bán của cổ đông nhỏ, khác hẳn hai căn cứ còn lại (không có thị trường sẵn, hạn chế chuyển nhượng) vốn đã có mặt ở s1, s3 và s10.</t>
  </si>
  <si>
    <t xml:space="preserve">Thêm một dòng deflist ở s4 cho quyền mua trước: cổ đông hiện hữu vừa được từ chối mua vừa được đưa giá ra người định giá độc lập ấn định khi thấy giá chào quá cao — nêu rõ hệ quả là trần giá của cổ đông nhỏ do bên khác đặt.</t>
  </si>
  <si>
    <t xml:space="preserve">7.2</t>
  </si>
  <si>
    <t xml:space="preserve">Controlling interest</t>
  </si>
  <si>
    <t xml:space="preserve">7.2.1</t>
  </si>
  <si>
    <t xml:space="preserve">Bảng bối cảnh ở s6 nén mỗi bối cảnh thành một ô nên rụng nhiều mục sách liệt kê thành gạch đầu dòng: (a) doanh nghiệp do nhà sáng lập nắm — thiếu "quan hệ khách hàng/nhà cung cấp/nhà đầu tư gắn với cá nhân sáng lập", "phân kỳ lợi ích: sáng lập ưu tiên tăng trưởng dài hạn và di sản thay vì lợi nhuận ngắn hạn", "quản trị thiếu chính thức, phụ thuộc xét đoán của một người"; (b) doanh nghiệp gia đình — thiếu "bất định kế nhiệm" và "chất lượng quản trị biến thiên từ chuyên nghiệp tới phi chính thức", thiếu cơ chế nắm quyền qua "chi phối hội đồng / ảnh hưởng phi chính thức nhờ uy tín, quan hệ" (mới có cổ phần nhiều phiếu và thỏa thuận bỏ phiếu chung); (c) thâu tóm chiến lược của tập đoàn — sách nêu 4 lý do quyền chi phối là điều kiện cần (đồng bộ chiến lược với công ty mẹ, tích hợp hệ thống và quy trình, phân bổ lại vốn và nguồn lực trong tập đoàn, hiện thực hóa cộng hưởng — đều là việc cổ đông thiểu số không làm được), HTML chỉ hỏi phần cộng hưởng thuộc về ai.</t>
  </si>
  <si>
    <t xml:space="preserve">Thêm một deflist 4 mục ở s6 liệt kê đúng các đặc điểm cần soi của bốn bối cảnh chi phối, hoặc mở rộng cột thứ ba của bảng thành 2–3 gạch đầu dòng cho mỗi dòng.</t>
  </si>
  <si>
    <t xml:space="preserve">7.2.2</t>
  </si>
  <si>
    <t xml:space="preserve">Implications for Valuation</t>
  </si>
  <si>
    <t xml:space="preserve">s6, synthesis</t>
  </si>
  <si>
    <t xml:space="preserve">7.2.3</t>
  </si>
  <si>
    <t xml:space="preserve">s7, synthesis, viz:levels-of-value, calc:control-minority, calc:pd-calc, quiz:Q3, quiz:Q6, quiz:Q12, quiz:Q17</t>
  </si>
  <si>
    <t xml:space="preserve">7.3</t>
  </si>
  <si>
    <t xml:space="preserve">Private equity and venture capitalist approach to valuation</t>
  </si>
  <si>
    <t xml:space="preserve">Mục 7.3 chỉ là dòng tiêu đề "Private equity and venture capitalist approach to valuation" (9 từ), không có nội dung trước khi vào 7.3.1.</t>
  </si>
  <si>
    <t xml:space="preserve">7.3.1</t>
  </si>
  <si>
    <t xml:space="preserve">Valuation approach</t>
  </si>
  <si>
    <t xml:space="preserve">s8, synthesis, calc:vc-method, quiz:Q24</t>
  </si>
  <si>
    <t xml:space="preserve">7.3.2</t>
  </si>
  <si>
    <t xml:space="preserve">Valuation guidelines</t>
  </si>
  <si>
    <t xml:space="preserve">s9, synthesis, quiz:Q7, quiz:Q10</t>
  </si>
  <si>
    <t xml:space="preserve">Hai khẳng định của sách không có ở đâu trong bản đang chấm: (1) "nhiều tổ chức trong ngành BỊ BẮT BUỘC tuân thủ Hướng dẫn IPEV khi liên quan tới khoản đầu tư và giao dịch với công ty trong danh mục" — s9 chỉ nói lợi ích là so sánh được giữa các quỹ, nên người đọc hiểu IPEV thuần túy tự nguyện; (2) mắt xích "thứ bậc giá trị hợp lý (fair value hierarchy) của IFRS và US GAAP là thứ nhà quản lý quỹ dùng để ước tính, và nội dung này sẽ học ở Module 4" — không có cụm nào về thứ bậc giá trị hợp lý hay con trỏ sang Module 4.</t>
  </si>
  <si>
    <t xml:space="preserve">Thêm một dòng vào concept "Vị trí trong hệ thống chuẩn mực" ở s9: IPEV là bắt buộc với nhiều định chế trong ngành, và ước tính giá trị hợp lý đi qua thứ bậc giá trị hợp lý của IFRS/US GAAP — chi tiết ở Module 4.</t>
  </si>
  <si>
    <t xml:space="preserve">7.3.3</t>
  </si>
  <si>
    <t xml:space="preserve">Key aspects of IPEV Guidelines</t>
  </si>
  <si>
    <t xml:space="preserve">s9, synthesis, quiz:Q8, quiz:Q11, quiz:Q21</t>
  </si>
  <si>
    <t xml:space="preserve">Thiếu hẳn PHẠM VI ÁP DỤNG của bản IPEV 2025, thứ sách dành nguyên một đoạn: hướng dẫn dùng cho toàn phổ quỹ đầu tư thay thế — vốn mạo hiểm giai đoạn hạt giống và khởi nghiệp, thương vụ mua lại (buy-out), vốn tăng trưởng và phát triển, hạ tầng, tín dụng — cùng các công cụ tài chính mà các quỹ này thường nắm giữ; và ngoài các đơn vị đầu tư áp dụng IFRS/US GAAP, các doanh nghiệp khác có nắm vốn tư nhân cũng dùng được. Bảng "Điểm nhấn bản 2025" ở s9 chỉ liệt kê 6 điểm nhấn nội dung, không có dòng nào về phạm vi.</t>
  </si>
  <si>
    <t xml:space="preserve">Thêm một dòng "Phạm vi áp dụng" vào đầu bảng điểm nhấn IPEV 2025 ở s9, liệt kê đủ 5 loại quỹ và ghi rõ doanh nghiệp ngoài ngành quỹ có nắm vốn tư nhân cũng áp dụng được.</t>
  </si>
  <si>
    <t xml:space="preserve">7.4</t>
  </si>
  <si>
    <t xml:space="preserve">Practical issues when valuing privately owned (unlisted) companies</t>
  </si>
  <si>
    <t xml:space="preserve">s1, s10, s11</t>
  </si>
  <si>
    <t xml:space="preserve">Mục 7.4 chỉ có một câu dẫn ("định giá công ty tư nhân có vài thách thức thực tế mà công ty niêm yết không gặp") trước khi vào 7.4.1 — câu chuyển, không mang nội dung thi; ý so sánh này đã nằm ở bảng niêm yết vs tư nhân ở s1.</t>
  </si>
  <si>
    <t xml:space="preserve">7.4.1</t>
  </si>
  <si>
    <t xml:space="preserve">Memorandum and Articles of Association and Shareholders’ Agreements</t>
  </si>
  <si>
    <t xml:space="preserve">s10, synthesis, quiz:Q20</t>
  </si>
  <si>
    <t xml:space="preserve">7.4.2</t>
  </si>
  <si>
    <t xml:space="preserve">Key issues when valuing privately owned entities</t>
  </si>
  <si>
    <t xml:space="preserve">s11, s3, synthesis, quiz:Q22</t>
  </si>
  <si>
    <t xml:space="preserve">7.4.3</t>
  </si>
  <si>
    <t xml:space="preserve">Key issues when implementing IPEV Guidelines</t>
  </si>
  <si>
    <t xml:space="preserve">s12, synthesis, quiz:Q9, quiz:Q18, quiz:Q25</t>
  </si>
  <si>
    <t xml:space="preserve">DANH SÁCH VIỆC CẦN LÀM — xếp theo rủi ro thi rồi theo độ dày của mục trong giáo trình</t>
  </si>
  <si>
    <t xml:space="preserve">Chỉ liệt kê các mục chấm THIẾU hoặc MỎNG ở LẦN CHẤM ĐẦU. Cột "Đã vá?" cho biết chỗ nào đã được bổ sung vào file HTML sau đó.</t>
  </si>
  <si>
    <t xml:space="preserve">60 CÂU ĐỀ THI THỬ CUỐI GIÁO TRÌNH — file ôn có dạy đủ để làm không</t>
  </si>
  <si>
    <t xml:space="preserve">Đây là thước sắc nhất: đề do chính ACRA/SMU soạn. Cột "Kết quả" chấm xem người CHỈ học file HTML có làm được câu đó không.</t>
  </si>
  <si>
    <t xml:space="preserve">Câu</t>
  </si>
  <si>
    <t xml:space="preserve">Đáp án</t>
  </si>
  <si>
    <t xml:space="preserve">Chủ đề</t>
  </si>
  <si>
    <t xml:space="preserve">Bấm số?</t>
  </si>
  <si>
    <t xml:space="preserve">Kết quả</t>
  </si>
  <si>
    <t xml:space="preserve">Hụt mắt xích nào</t>
  </si>
  <si>
    <t xml:space="preserve">Đề bài (rút gọn)</t>
  </si>
  <si>
    <t xml:space="preserve">B</t>
  </si>
  <si>
    <t xml:space="preserve">Bội số PE dự phóng — vốn hóa chia lợi nhuận dự phóng</t>
  </si>
  <si>
    <t xml:space="preserve">có</t>
  </si>
  <si>
    <t xml:space="preserve">ch1:s4, ch1:synthesis, ch2:s6, ch3:s6, ch3:quiz:Q20</t>
  </si>
  <si>
    <t xml:space="preserve">ABC Company Limited, which generated net profit after tax (NPAT) of $42 million in the current financial year and anticipates a growth to $48 million in the upcoming year, has a stock price of $34.50 and 20 million outstanding shares. Its prospective price-to- earnings (PE) multiple is,</t>
  </si>
  <si>
    <t xml:space="preserve">FCFF từ EBITDA — thuế tính trên EBIT, capex, vốn lưu động</t>
  </si>
  <si>
    <t xml:space="preserve">ch4:s3, ch4:synthesis, ch4:s12, calc:terminal-value</t>
  </si>
  <si>
    <t xml:space="preserve">XYZ Company Limited reported $122 million in earnings before interest, tax, depreciation, and amortisation (EBITDA), $22 million in depreciation and amortisation expense, $28 million in capital expenditure, and $5 million in working capital investment in the most recent financial year. Given a tax r</t>
  </si>
  <si>
    <t xml:space="preserve">A</t>
  </si>
  <si>
    <t xml:space="preserve">Phạm vi của DCF và công ty đầu tư nắm giữ tài sản</t>
  </si>
  <si>
    <t xml:space="preserve">ch4:s2, ch4:s3, ch5:s2, ch5:s3, ch7:s5</t>
  </si>
  <si>
    <t xml:space="preserve">Which of the following statements is false regarding the discounted cash flow (DCF) method? Pick the best answer.</t>
  </si>
  <si>
    <t xml:space="preserve">C</t>
  </si>
  <si>
    <t xml:space="preserve">Cách tiếp cận tài sản hợp với loại doanh nghiệp nào</t>
  </si>
  <si>
    <t xml:space="preserve">ch5:s3, ch5:synthesis, ch5:quiz:Q13</t>
  </si>
  <si>
    <t xml:space="preserve">File nêu rõ cách tài sản hợp với công ty thâm dụng tài sản và công ty nắm bất động sản (đáp án đúng), và nêu rõ công ty dịch vụ chuyên nghiệp đang có lãi thì KHÔNG dùng — nhưng thiếu mắt xích 'doanh nghiệp đang xoay chuyển (turnaround) thì dùng cách tiếp cận thu nhập'. Ngược lại ch5:s3 xếp 'đang lỗ, triển vọng bất định, khả năng duy trì hoạt động bị đe dọa' vào nhóm NÊN dùng cách tài sản, nên nhiễu A trông cũng đúng.</t>
  </si>
  <si>
    <t xml:space="preserve">Which of the following statements is true regarding the asset-based approach? Pick the best answer.</t>
  </si>
  <si>
    <t xml:space="preserve">Độ lớn chiết khấu thiểu số phụ thuộc cơ cấu sở hữu phần còn lại</t>
  </si>
  <si>
    <t xml:space="preserve">ch6:s4, ch6:s5, ch7:s2</t>
  </si>
  <si>
    <t xml:space="preserve">ch6:s5 dạy chiết khấu thiểu số phải chỉnh theo gói quyền thật (thỏa thuận cổ đông, quyền phủ quyết, chính sách cổ tức, bảo vệ pháp lý, quản trị) nhưng KHÔNG có yếu tố 'mức độ tập trung của phần vốn CÒN LẠI': lô 25% đứng cạnh một cổ đông 75% bị chiết khấu nặng hơn lô 25% nằm giữa các lô 25% khác (lá phiếu quyết định). Không có mắt xích này thì ba phương án đều là 25% và không phân biệt được.</t>
  </si>
  <si>
    <t xml:space="preserve">All other things being equal, which of the following 25% interests is relatively less valuable (i.e., would receive higher discounts) within a company? Pick the best answer.</t>
  </si>
  <si>
    <t xml:space="preserve">Các khoản chi phí phải tính khi xác định giá trị thanh lý</t>
  </si>
  <si>
    <t xml:space="preserve">ch5:s9, ch2:s4, ch2:quiz:Q23, ch5:quiz:Q5</t>
  </si>
  <si>
    <t xml:space="preserve">ch5:s9 liệt kê chi phí thanh lý đúng HAI nhóm — 'phí quảng cáo và hoa hồng môi giới' và 'phí dịch vụ chuyên môn cho tư vấn pháp lý, kế toán và dịch vụ khác' — tức đúng bằng phương án nhiễu A ((I) và (II) only). Nhóm thứ ba của đề (chi phí hành chính và các khoản lỗ phát sinh kéo dài suốt quá trình thanh lý) không có ở đâu trong file, nên người học bị lái thẳng vào đáp án sai.</t>
  </si>
  <si>
    <t xml:space="preserve">Read the following statements. (I) Commissions. (II) Legal and accounting costs. (III) Administrative costs and potential losses that may persist throughout the liquidation process. Which of the above must be considered when determining liquidation value? Pick the best answer.</t>
  </si>
  <si>
    <t xml:space="preserve">Loại điểm dị biệt trong nhóm so sánh bằng bội số EV/EBITDA</t>
  </si>
  <si>
    <t xml:space="preserve">ch3:s5, ch3:s6, ch3:quiz:Q7, ch3:s10</t>
  </si>
  <si>
    <t xml:space="preserve">You intend to assess the value of a business by employing the average enterprise value-to-EBITDA multiple of comparable companies. To facilitate this evaluation, you have compiled the following information of the comparable companies. Company A B C D E Earnings before interest, tax, 1.5 10 2.0 10.4 </t>
  </si>
  <si>
    <t xml:space="preserve">Chiều tác động của tăng trưởng và chi phí vốn chủ lên giá trị vốn chủ</t>
  </si>
  <si>
    <t xml:space="preserve">ch4:s9, ch4:synthesis, calc:tv-calc, ch4:quiz:Q16</t>
  </si>
  <si>
    <t xml:space="preserve">Pick the best answer. All things being equal, when using the income approach, the equity value of a start-up company tends to increase as the growth rate ________ and the cost of equity ________. Growth rate Cost of equity</t>
  </si>
  <si>
    <t xml:space="preserve">Chọn cách tiếp cận theo đặc thù ngành — khai khoáng và tài nguyên</t>
  </si>
  <si>
    <t xml:space="preserve">ch4:s2, ch4:s1, ch3:s2, viz:approach-tree</t>
  </si>
  <si>
    <t xml:space="preserve">File dạy nguyên tắc chọn cách tiếp cận theo chất lượng bằng chứng (viz:approach-tree, ch3:s2, ch4:s2) nhưng không có chỗ nào gắn đặc thù ngành khai khoáng/tài nguyên — đời mỏ hữu hạn là yếu tố quyết định giá trị — với việc chọn cách tiếp cận thu nhập. Khai khoáng chỉ được nhắc một lần ở ch4:s4 trong ngữ cảnh dựng dòng tiền thực thay vì danh nghĩa.</t>
  </si>
  <si>
    <t xml:space="preserve">Which of the following approaches is most commonly adopted for a comprehensive valuation of companies operating in the mining and resources sector? Pick the best answer.</t>
  </si>
  <si>
    <t xml:space="preserve">Trần của tốc độ tăng trưởng dài hạn neo vào tăng trưởng GDP</t>
  </si>
  <si>
    <t xml:space="preserve">ch4:s9, ch4:synthesis, ch4:quiz:Q8</t>
  </si>
  <si>
    <t xml:space="preserve">Which of the following is commonly employed to support the company’s long-term growth rate in the application of the income approach? Pick the best answer.</t>
  </si>
  <si>
    <t xml:space="preserve">Phân loại chiết khấu: cấp doanh nghiệp hay cấp phần vốn</t>
  </si>
  <si>
    <t xml:space="preserve">ch6:s11, ch6:s12, ch6:synthesis, ch6:quiz:Q11, ch6:s10</t>
  </si>
  <si>
    <t xml:space="preserve">Which of the following statements is false? Pick the best answer.</t>
  </si>
  <si>
    <t xml:space="preserve">Số mũ chiết khấu của giá trị cuối kỳ theo quy ước giữa kỳ</t>
  </si>
  <si>
    <t xml:space="preserve">ch4:s4, calc:midyear-dcf, ch4:s9, ch4:quiz:Q18</t>
  </si>
  <si>
    <t xml:space="preserve">For the purpose of the following equation, FCF5 = Free cash flow expected in the fifth year of the projection period K = Discount rate G = Expected long term sustainable growth rate. Which of the following is a correct equation to calculate the terminal value using a mid- year discounting convention</t>
  </si>
  <si>
    <t xml:space="preserve">Điều kiện của mô hình Gordon — năm cuối phải ở trạng thái ổn định</t>
  </si>
  <si>
    <t xml:space="preserve">ch4:s9, ch4:synthesis, ch4:quiz:Q16</t>
  </si>
  <si>
    <t xml:space="preserve">Pick the best answer. The determination of terminal value using the Gordon growth model for a going-concern business is closely associated with,</t>
  </si>
  <si>
    <t xml:space="preserve">Yếu tố nào là rủi ro riêng của công ty trong chi phí vốn chủ</t>
  </si>
  <si>
    <t xml:space="preserve">ch4:s5, ch4:s7, ch6:s10</t>
  </si>
  <si>
    <t xml:space="preserve">Which of the following factors will have the most significant influence in estimating company-specific risk using the Capital Asset Pricing Model (CAPM)? Pick the best answer.</t>
  </si>
  <si>
    <t xml:space="preserve">Chi phí nợ tính trên dư nợ chịu lãi, không tính phải trả người bán</t>
  </si>
  <si>
    <t xml:space="preserve">ch4:s8, ch3:quiz:Q16, calc:ev-equity-bridge</t>
  </si>
  <si>
    <t xml:space="preserve">ch4:s8 chỉ cho ba cách ước chi phí nợ (lợi suất trái phiếu đang giao dịch · lợi suất trái phiếu chính phủ cộng chênh lệch vỡ nợ theo xếp hạng · điều khoản khoản vay gần nhất) và còn cảnh báo KHÔNG dùng lãi suất lịch sử của chính doanh nghiệp. Thiếu hẳn đường tính của đề: chi phí lãi chia cho tổng nợ CHỊU LÃI. Việc loại phải trả người bán khỏi mẫu số chỉ được dạy ở ngữ cảnh nợ tài chính ròng (ch3:quiz:Q16), không ở ngữ cảnh chi phí nợ, nên nhiễu 5,2% (chia cho 120 gồm cả phải trả) không bị chặn tường minh.</t>
  </si>
  <si>
    <t xml:space="preserve">Pick the best answer. ABC Company Limited incurred interest payments of $6.2 million in the financial year. The company’s liabilities encompass accounts payable of $20 million, short-term debt of $10 million, and long-term debt of $90 million. The company’s cost of debt is:</t>
  </si>
  <si>
    <t xml:space="preserve">Chi phí vốn chủ theo CAPM mở rộng có phần bù quy mô và rủi ro riêng</t>
  </si>
  <si>
    <t xml:space="preserve">ch4:s6, ch4:s7, calc:hamada-capm-wacc, ch4:quiz:Q13, ch4:quiz:Q5</t>
  </si>
  <si>
    <t xml:space="preserve">File chỉ có CAPM thuần Rf + beta x MRP (ch4:s6, ch4:quiz:Q13, calc:hamada-capm-wacc) và xếp phần bù quy mô (RPs) cùng phần bù rủi ro riêng công ty (RPu) vào phương pháp cộng dồn với beta đặt bằng 1,0 (ch4:s7, ch4:quiz:Q5). ch4:quiz:Q21 còn khẳng định phần bù rủi ro riêng là thành phần của phương pháp cộng dồn chứ không phải của CAPM. Thiếu hẳn mắt xích 'CAPM mở rộng': cộng thêm RPs và RPu lên trên beta x MRP. Người học theo đúng file sẽ ra 15,4% (không có trong ba phương án) rồi phải đoán giữa 18,4% · 20,4% · 23,4%.</t>
  </si>
  <si>
    <t xml:space="preserve">Refer to the following information. Risk free rate = 5% Market risk premium = 8% Size premium = 3% Company specific risk = 5% Equity beta = 1.3 Calculate the cost of equity using the Capital Asset Pricing Model (CAPM)? Pick the best answer.</t>
  </si>
  <si>
    <t xml:space="preserve">FCFF không gồm lãi vay và nợ gốc; kỳ dự báo tường minh</t>
  </si>
  <si>
    <t xml:space="preserve">ch4:s3, ch4:synthesis, ch4:s2, viz:discount-rate-tree, ch4:quiz:Q1</t>
  </si>
  <si>
    <t xml:space="preserve">Which of the following statement is false? Pick the best answer.</t>
  </si>
  <si>
    <t xml:space="preserve">Quyền của cổ đông chi phối và quyền khởi kiện chèn ép của mọi cổ đông</t>
  </si>
  <si>
    <t xml:space="preserve">ch7:s6, ch6:s3, ch6:s5, ch2:s4, ch2:quiz:Q14</t>
  </si>
  <si>
    <t xml:space="preserve">Which of the following is false regarding the rights of controlling shareholders of companies? Pick the best answer.</t>
  </si>
  <si>
    <t xml:space="preserve">Phần bù quyền chi phối ngầm định từ giá chào mua</t>
  </si>
  <si>
    <t xml:space="preserve">ch6:s3, ch6:quiz:Q2, ch1:synthesis, calc:control-minority</t>
  </si>
  <si>
    <t xml:space="preserve">ABC Limited has received a takeover offer. Prior to the announcement of the bid, ABC Limited’s market capitalisation was $500 million, and it had 250 million shares outstanding. The acquirer’s offer price is $2.50 per share. What is the implied control premium the acquirer is prepared to pay to acqu</t>
  </si>
  <si>
    <t xml:space="preserve">Hai lớp chiết khấu áp liên tiếp theo phép nhân, không cộng dồn</t>
  </si>
  <si>
    <t xml:space="preserve">ch6:s12, calc:chain-discounts-drill, viz:discount-order, ch6:quiz:Q23</t>
  </si>
  <si>
    <t xml:space="preserve">Pick the best answer. After thorough analysis, it has been determined that the appropriate discount for the lack of control is 20%, and the discount for the lack of marketability is 30%. Both of these discounts will need to be applied in the valuation. Consequently, the total effect of these two dis</t>
  </si>
  <si>
    <t xml:space="preserve">Chiết khấu khối lượng lớn và khối lượng giao dịch bình quân ngày</t>
  </si>
  <si>
    <t xml:space="preserve">ch6:s8, ch6:synthesis, ch6:quiz:Q9, ch6:quiz:Q18</t>
  </si>
  <si>
    <t xml:space="preserve">In which situation is a blockage discount most appropriate? Pick the best answer.</t>
  </si>
  <si>
    <t xml:space="preserve">Phương pháp nào ra mức giá trị chi phối, phương pháp nào ra thiểu số</t>
  </si>
  <si>
    <t xml:space="preserve">ch7:s5, ch7:s7, ch4:s3, ch5:s2, ch7:quiz:Q5, viz:levels-of-value</t>
  </si>
  <si>
    <t xml:space="preserve">Which of the following is not appropriate when determining the equity value of a publicly listed entity in relation to a transaction involving a controlling interest? Pick the best answer.</t>
  </si>
  <si>
    <t xml:space="preserve">Mức giá trị của GPCM là thiểu số bán được ngay</t>
  </si>
  <si>
    <t xml:space="preserve">ch3:s4, ch3:quiz:Q3, ch6:s2, viz:levels-of-value, ch7:quiz:Q2</t>
  </si>
  <si>
    <t xml:space="preserve">What level of value is generally provided by the use of guideline publicly-traded comparable method (GPCM) under the market approach? Pick the best answer.</t>
  </si>
  <si>
    <t xml:space="preserve">Giá trị thanh lý: giá thu hồi trừ nợ trừ chi phí thanh lý</t>
  </si>
  <si>
    <t xml:space="preserve">ch5:s1, ch5:s9, ch2:s4, ch2:quiz:Q23, ch5:quiz:Q22</t>
  </si>
  <si>
    <t xml:space="preserve">With the following information of ABC Company Limited, compute the liquidation value of the company. Book value of the assets as of valuation date = $70 million Estimated realised value of the assets as of valuation date = $65 million Estimated realised value of the liabilities as of valuation date </t>
  </si>
  <si>
    <t xml:space="preserve">Ba phát biểu về cách tiếp cận thị trường: bội số, GPCM/CTM, hai tầng giá trị</t>
  </si>
  <si>
    <t xml:space="preserve">ch3:s4, ch3:s6, ch3:s10, ch3:s12, viz:market-eight-steps</t>
  </si>
  <si>
    <t xml:space="preserve">Read the following statements. (I) EV-to-EBITDA (i.e. enterprise value to earnings before interest, tax, depreciation, and amortisation) multiple is a common valuation metric adopted for comparable transaction analysis. (II) Both the guideline publicly-traded comparable method (GPCM) and comparable </t>
  </si>
  <si>
    <t xml:space="preserve">Cách tiếp cận thu nhập là hướng về tương lai</t>
  </si>
  <si>
    <t xml:space="preserve">ch4:s1, ch4:s11, ch4:synthesis</t>
  </si>
  <si>
    <t xml:space="preserve">Which of the following is false regarding the income approach? Pick the best answer.</t>
  </si>
  <si>
    <t xml:space="preserve">Bội số EV/EBIT — dựng EV từ vốn hóa cộng nợ ròng, EBIT từ lợi nhuận trước thuế</t>
  </si>
  <si>
    <t xml:space="preserve">ch3:s6, ch1:s10, ch2:s6, calc:ev-equity-bridge, viz:ev-equity-bridge</t>
  </si>
  <si>
    <t xml:space="preserve">ABC Company Limited has a market capitalisation of $20 million and net financial debt of $12 million. Its net profit before tax is $1.1 million, and its interest expense is $900,000. The company’s tax rate is 20%. Calculate the company’s earnings before interest and tax (EBIT) multiple. Pick the bes</t>
  </si>
  <si>
    <t xml:space="preserve">Từ bội số EBITDA về giá trị vốn chủ qua nợ tài chính ròng</t>
  </si>
  <si>
    <t xml:space="preserve">ch3:s12, calc:ev-equity-bridge, calc:ev-equity-calc, ch3:quiz:Q16, ch1:s10</t>
  </si>
  <si>
    <t xml:space="preserve">In valuing a company, the earnings before interest, tax, depreciation and amortisation (EBITDA) multiple of 10 times is being adopted. The company has short term debt of $3 million, long term debt of $7 million and cash of $2 million. All the company’s debt are interest bearing. The company’s normal</t>
  </si>
  <si>
    <t xml:space="preserve">Thời điểm lấy giá và bội số so sánh, và nghĩa vụ phân tích điều chỉnh</t>
  </si>
  <si>
    <t xml:space="preserve">ch3:s5, ch3:s4, ch3:s10, ch3:s9, ch3:quiz:Q17</t>
  </si>
  <si>
    <t xml:space="preserve">Which of the following statement is true? Pick the best answer.</t>
  </si>
  <si>
    <t xml:space="preserve">Tính giá trị doanh nghiệp bằng DCF với quy ước cuối kỳ và giá trị cuối kỳ</t>
  </si>
  <si>
    <t xml:space="preserve">ch4:s1, ch4:s4, ch4:s9, calc:midyear-dcf, calc:tv-calc, viz:dcf-six-steps</t>
  </si>
  <si>
    <t xml:space="preserve">Determine the enterprise value based on the information provided. Year 1 Year 2 Year 3 Free Cash Flow to the Firm ($000s) 4,600 5,290 6,084 - Weighted average cost of capital (WACC) = 10% - Cash flow is expected to grow at terminal growth rate of 4% beyond explicit forecast period. - Adopt year end </t>
  </si>
  <si>
    <t xml:space="preserve">DLOM — các yếu tố quyết định độ lớn</t>
  </si>
  <si>
    <t xml:space="preserve">ch6:s6, ch6:s7, ch7:s7, ch7:s10, quiz6:Q4, quiz7:Q12</t>
  </si>
  <si>
    <t xml:space="preserve">Read the following statements. (I) Restrictions on transferability. (II) Size of the ownership interests. (III) Pool of potential buyers. Which of the above factors can influence the magnitude of the discount for lack of marketability that is applied in a valuation? Pick the best answer.</t>
  </si>
  <si>
    <t xml:space="preserve">DCF — giá trị cuối kỳ tính bằng Gordon hoặc bội số thoát; suất chiết khấu khớp loại dòng tiền</t>
  </si>
  <si>
    <t xml:space="preserve">ch4:s3, ch4:s9, ch4:s2, calc:terminal-value, quiz4:Q1, quiz4:Q16</t>
  </si>
  <si>
    <t xml:space="preserve">When employing a discounted cash flow (DCF) method, which of the following statements is true? Pick the best answer.</t>
  </si>
  <si>
    <t xml:space="preserve">Phương pháp tài sản thuần điều chỉnh — khi nào dùng, khi nào định giá thấp</t>
  </si>
  <si>
    <t xml:space="preserve">ch5:s3, ch5:s2, quiz5:Q9, quiz5:Q13</t>
  </si>
  <si>
    <t xml:space="preserve">Pick the best answer. The adjusted net asset method is typically employed when:</t>
  </si>
  <si>
    <t xml:space="preserve">Cơ sở giá trị trong thương vụ thâu tóm công ty niêm yết</t>
  </si>
  <si>
    <t xml:space="preserve">ch2:s3, ch2:s4, ch2:s8, ch2:s11, quiz2:Q2, quiz2:Q13</t>
  </si>
  <si>
    <t xml:space="preserve">Khi nào cách tiếp cận thị trường áp dụng được</t>
  </si>
  <si>
    <t xml:space="preserve">ch3:s2, ch5:s3, viz:approach-tree, quiz5:Q13</t>
  </si>
  <si>
    <t xml:space="preserve">In which of the following situations is the market approach applicable? Pick the best answer.</t>
  </si>
  <si>
    <t xml:space="preserve">6.2–6.3</t>
  </si>
  <si>
    <t xml:space="preserve">Phần bù quyền chi phối, chiết khấu thiểu số, và mức giá trị mà ANAV cho ra</t>
  </si>
  <si>
    <t xml:space="preserve">ch6:s3, ch6:s4, ch5:s2, quiz6:Q2, quiz6:Q22, quiz5:Q1</t>
  </si>
  <si>
    <t xml:space="preserve">Chuỗi chiết khấu — đổi phần bù 25% thành DLOC 20% rồi nhân tiếp DLOM lên giá trị ANAV</t>
  </si>
  <si>
    <t xml:space="preserve">ch6:s4, ch6:s12, ch5:s2, calc:control-minority, calc:pd-calc, calc:chain-discounts-drill, viz:discount-order, quiz7:Q23</t>
  </si>
  <si>
    <t xml:space="preserve">ABC, a private company, has two shareholders, A and B, each holding equity interests of 10% and 90%, respectively. The transferability of company shares is subject to specific restrictions. The valuation approach employed by the valuer is the asset-based approach. Consequently, the company’s value i</t>
  </si>
  <si>
    <t xml:space="preserve">Cấu trúc vốn dùng cho WACC khi cơ sở giá trị là market value</t>
  </si>
  <si>
    <t xml:space="preserve">ch4:s8, calc:hamada-capm-wacc, quiz4:Q22</t>
  </si>
  <si>
    <t xml:space="preserve">Which statement most accurately encapsulates the capital structure assumption employed in a weighted average cost of capital (WACC) computation, adopting the ‘market value’ basis stated in the International Valuation Standards? Pick the best answer.</t>
  </si>
  <si>
    <t xml:space="preserve">3.3.4–3.3.5</t>
  </si>
  <si>
    <t xml:space="preserve">Nguyên tắc áp bội số — khớp định nghĩa tử/mẫu và chuẩn hóa khoản không lặp lại</t>
  </si>
  <si>
    <t xml:space="preserve">ch3:s6, ch3:s7, calc:norm-ebitda, quiz3:Q5, quiz3:Q9</t>
  </si>
  <si>
    <t xml:space="preserve">Read the following statements. (I) The earnings of comparable guideline companies are measured in the same manner as those of the company being valued. (II) Valuation multiples are established by analysing data pertaining to comparable companies or transactions. (III) In the analysis of the subject </t>
  </si>
  <si>
    <t xml:space="preserve">Điểm chung của DCF theo FCFF và theo FCFE</t>
  </si>
  <si>
    <t xml:space="preserve">ch4:s1, ch4:s3, viz:discount-rate-tree, quiz4:Q1</t>
  </si>
  <si>
    <t xml:space="preserve">Read the following statements. (I) Both focus on cash returns. (II) Both have benefits that are estimated and converted to value by applying an appropriate discount rate. (III) Both are forward looking in nature. Which of the following statements is true regarding the discounted cash flow (DCF) meth</t>
  </si>
  <si>
    <t xml:space="preserve">Công thức FCFF đi từ EBIT — thuế trên EBIT, cộng khấu hao, trừ capex</t>
  </si>
  <si>
    <t xml:space="preserve">ch4:s3, quiz4:Q2</t>
  </si>
  <si>
    <t xml:space="preserve">Pick the best answer. In the computation of free cash flow to the firm, starting from earnings before interest and tax (EBIT),</t>
  </si>
  <si>
    <t xml:space="preserve">Chuẩn hóa EBITDA (bóc thu nhập một lần, kéo lương chủ về mức thị trường) rồi áp bội số ra giá trị doanh nghiệp</t>
  </si>
  <si>
    <t xml:space="preserve">ch3:s7, calc:norm-ebitda, quiz3:Q9, quiz3:Q13, quiz1:Q16</t>
  </si>
  <si>
    <t xml:space="preserve">An owner of a company is contemplating the disposal of the business. The most recent financial statements of the company indicate an annualised earnings before interest, tax, depreciation, and amortisation (EBITDA) of $800,000. EBITDA comprises a one- time income amounting to $400,000 resulting from</t>
  </si>
  <si>
    <t xml:space="preserve">Bội số P/E dự phóng nhân EPS dự phóng, so với giá thị trường hiện hành</t>
  </si>
  <si>
    <t xml:space="preserve">ch3:s6, synth2:b10, quiz3:Q20</t>
  </si>
  <si>
    <t xml:space="preserve">Pick the best answer. Company A, a publicly traded entity, is valued using the market approach. This valuation technique entails analysing the average prospective price-to- earnings (PE) multiple of comparable firms within the same industry. The industry average prospective PE multiple is 9 times, w</t>
  </si>
  <si>
    <t xml:space="preserve">3.3.4 + 3.5</t>
  </si>
  <si>
    <t xml:space="preserve">Chỉnh giảm bội số theo rủi ro rồi bắc cầu EV sang vốn chủ bằng nợ tài chính ròng</t>
  </si>
  <si>
    <t xml:space="preserve">ch3:s10, ch3:s12, viz:ev-equity-bridge, calc:ev-equity-bridge, calc:ev-equity-calc, quiz3:Q16</t>
  </si>
  <si>
    <t xml:space="preserve">The subject of valuation is ABC Private Limited (ABC). You have obtained the following information, • Average earnings before interest, tax, depreciation and amortisation (EBITDA) multiple of comparable public companies is 8 times. This reflects a controlling multiple, and is applicable for adoption</t>
  </si>
  <si>
    <t xml:space="preserve">4.3.1 + 4.3.6</t>
  </si>
  <si>
    <t xml:space="preserve">FCFF là tiền cho toàn bộ nhà cấp vốn và có thể âm; TV chiếm phần lớn giá trị</t>
  </si>
  <si>
    <t xml:space="preserve">ch4:s3, ch4:s9, quiz4:Q2</t>
  </si>
  <si>
    <t xml:space="preserve">Ba đường phản ánh rủi ro ESG vào định giá: suất chiết khấu, dòng tiền, bội số</t>
  </si>
  <si>
    <t xml:space="preserve">ch1:s12, ch7:s9, synth7:b11, ch4:s7, quiz1:Q12</t>
  </si>
  <si>
    <t xml:space="preserve">Thiếu hẳn đường thứ ba: điều chỉnh BỘI SỐ (P/E, EV/EBITDA, P/B) theo rủi ro ESG. File chỉ nói ESG 'nếu đo được và trọng yếu thì đi vào dòng tiền hoặc suất chiết khấu' (ch7:s9, synth7:b11) và nói phụ lục IVS 104 liệt kê yếu tố ESG (ch1:s12) — đúng hai trong ba phát biểu, nên người học rất dễ chọn A ((I) và (II) only) thay vì C. Cũng không nêu việc chỉnh ESG qua beta và phần bù rủi ro bổ sung như phát biểu (I) mô tả.</t>
  </si>
  <si>
    <t xml:space="preserve">Evaluate the following statements. (I) In the context of elevated environmental, social and governance (ESG) risks, the discount rate can be adjusted by considering the components of the discount rate, such as beta and the additional risk premium. (II) ESG-related risks can be explicitly incorporate</t>
  </si>
  <si>
    <t xml:space="preserve">Giải ngược WACC từ công thức tăng trưởng vĩnh viễn</t>
  </si>
  <si>
    <t xml:space="preserve">ch4:s9, calc:terminal-value, calc:tv-calc, quiz4:Q16</t>
  </si>
  <si>
    <t xml:space="preserve">In the most recent financial year, ABC Company Limited generated a free cash flow to the firm (FCFF) of $200 million. The company anticipates a perpetual growth rate of 2%. Given that the company’s enterprise value is $2.72 billion, what is the weighted average cost of capital (WACC)? Pick the best </t>
  </si>
  <si>
    <t xml:space="preserve">3.1 + 3.4</t>
  </si>
  <si>
    <t xml:space="preserve">Cách tiếp cận thị trường hướng về tương lai, giá cổ phiếu hàm chứa tăng trưởng, và bao gồm cả tài sản vô hình</t>
  </si>
  <si>
    <t xml:space="preserve">ch3:s8, ch3:s5, ch5:s2, ch1:s4</t>
  </si>
  <si>
    <t xml:space="preserve">Thiếu mắt xích 'giá mà nhà đầu tư trả là phản ánh kỳ vọng, nên cách tiếp cận thị trường vốn dĩ mang tính hướng về tương lai' và 'giá cổ phiếu niêm yết đã hàm chứa tăng trưởng kỳ vọng'. File gán 'hướng về tương lai' cho riêng cách tiếp cận thu nhập (ch4:s11) và mô tả cách tiếp cận thị trường bằng bằng chứng giá đã xảy ra (ch3:s8), thậm chí ch1:s4 nhấn 'giá thị trường không đương nhiên bằng giá trị' — người học dễ coi (I) là sai và chọn B. Phát biểu (III) về tài sản vô hình thì có ở ch5:s2.</t>
  </si>
  <si>
    <t xml:space="preserve">Read the following statements. (I) The market approach is forward looking. (II) The price of a public company stock includes anticipated growth. (III) The application of the market approach includes intangible assets and goodwill to the extent they exist. Which of the above is true? Pick the best an</t>
  </si>
  <si>
    <t xml:space="preserve">4.3.6 + 4.3.2</t>
  </si>
  <si>
    <t xml:space="preserve">Giá trị doanh nghiệp tại một thời điểm tương lai: TV Gordon ở cuối năm 5 rồi chiết khấu cuối kỳ về năm 3</t>
  </si>
  <si>
    <t xml:space="preserve">ch4:s4, ch4:s9, calc:terminal-value, calc:tv-calc, quiz4:Q16, quiz4:Q18</t>
  </si>
  <si>
    <t xml:space="preserve">The forecasted free cash flows of a business are as shown. After Year 5, the cash flows will grow by 3% per year forever. You plan to buy the business today, operate it for 3 years, and then sell it after the third year. Estimate the value of the business at the time of your planned sale, using a di</t>
  </si>
  <si>
    <t xml:space="preserve">Đọc bảng bội số nhóm so sánh để kết luận định giá cao / thấp / hợp lý</t>
  </si>
  <si>
    <t xml:space="preserve">ch3:s8, ch3:s5, ch3:s10</t>
  </si>
  <si>
    <t xml:space="preserve">File chỉ có một câu chung 'cách tiếp cận thị trường nói được đắt hay rẻ so với nhóm' (ch3:s8, phần nhược điểm) và không có ví dụ nào đọc bảng bội số của nhóm rồi kết luận công ty bị định giá cao hay thấp. Thiếu đúng mắt xích tách phương án B với C: mốc phân biệt 'thấp hơn hẳn bình quân nhóm = undervalued' với 'xấp xỉ bình quân nhóm = fairly valued'. Bảng nhóm so sánh của case Co A (ch3:s10) chỉ dùng để chốt dải bội số áp cho đối tượng định giá, không dùng để chấm bản thân một công ty trong nhóm.</t>
  </si>
  <si>
    <t xml:space="preserve">The analyst is comparing the valuation multiple of Company A with those of the other comparable firms. He is likely to conclude that Company A is __________ using the price / book multiple and is __________ using the price / sales multiple. Price / Book multiple Price / Sales multiple</t>
  </si>
  <si>
    <t xml:space="preserve">P/E bình quân nhóm nhân lợi nhuận sau thuế chuẩn hóa ra thẳng giá trị vốn chủ</t>
  </si>
  <si>
    <t xml:space="preserve">ch3:s6, ch3:s10, synth2:b10, quiz3:Q8, quiz3:Q19</t>
  </si>
  <si>
    <t xml:space="preserve">The analyst is estimating the value of Company Y, a private company with normalised net profit after tax (NPAT) of $5 million. Assuming that the average multiple for all comparable companies is appropriate for the valuation, the equity of this company would be valued at:</t>
  </si>
  <si>
    <t xml:space="preserve">EV/EBITDA bình quân nhân EBITDA chuẩn hóa rồi trừ nợ tài chính ròng ra vốn chủ</t>
  </si>
  <si>
    <t xml:space="preserve">ch3:s12, viz:ev-equity-bridge, calc:ev-equity-bridge, calc:ev-equity-calc, quiz3:Q16, quiz4:Q17</t>
  </si>
  <si>
    <t xml:space="preserve">The analyst is estimating the equity value of Company Z, a private company with normalised earnings before interest, tax, depreciation, and amortisation (EBITDA) of $40 million. The company’s short-term and long-term borrowings are $80 million, with cash of $10 million. Utilising the relevant averag</t>
  </si>
  <si>
    <t xml:space="preserve">Tính FCFF: EBIT×(1−t) + khấu hao − capex − tăng vốn lưu động</t>
  </si>
  <si>
    <t xml:space="preserve">ch4:s3, ch4:s12, quiz4:Q2, quiz4:Q24</t>
  </si>
  <si>
    <t xml:space="preserve">Given the company’s financial data, excluding the additional observations (a) and (b), calculate the free cash flow to the firm (FCFF). Pick the best answer.</t>
  </si>
  <si>
    <t xml:space="preserve">4.3.1 + 4.4.2</t>
  </si>
  <si>
    <t xml:space="preserve">Chuẩn hóa lương người nhà: khoản chỉnh EBIT chảy vào FCFF sau khi nhân (1−t)</t>
  </si>
  <si>
    <t xml:space="preserve">ch4:s3, ch4:s11, ch3:s7, calc:norm-ebitda</t>
  </si>
  <si>
    <t xml:space="preserve">What will be the impact on the free cash flow to the firm (FCFF) if adjustments are made as a result of the additional observation regarding the CFO’s salary? Pick the best answer.</t>
  </si>
  <si>
    <t xml:space="preserve">Điều chỉnh chi đầu tư tác động 1:1 lên FCFF, không đi qua thuế</t>
  </si>
  <si>
    <t xml:space="preserve">ch4:s3, ch4:s11, ch4:s12</t>
  </si>
  <si>
    <t xml:space="preserve">What will be the impact on the free cash flow to the firm (FCFF) if the company’s financial data is adjusted based on your observation regarding the adjustment to the capital expenditure? Pick the best answer.</t>
  </si>
  <si>
    <t xml:space="preserve">4.3.4 – 4.3.5</t>
  </si>
  <si>
    <t xml:space="preserve">Tính WACC: CAPM cho chi phí vốn chủ, chi phí nợ sau thuế, trọng số theo giá trị thị trường</t>
  </si>
  <si>
    <t xml:space="preserve">ch4:s6, ch4:s8, calc:hamada-capm-wacc, calc:wacc-calc, quiz4:Q13, quiz4:Q15</t>
  </si>
  <si>
    <t xml:space="preserve">ABC Company has 3 million shares of common stock outstanding at a price of $60 per share. The company also has outstanding debt with a market value of $60 million, at an interest rate of 7.5%. The stock has a beta of 1.6 and the 20-year government bonds are yielding at 4%. The expected return from i</t>
  </si>
  <si>
    <t xml:space="preserve">Cái gì đi vào WACC và cái gì thuộc về dòng tiền (vốn lưu động)</t>
  </si>
  <si>
    <t xml:space="preserve">ch4:s3, ch4:s7, ch4:s8, ch4:s11, quiz4:Q21</t>
  </si>
  <si>
    <t xml:space="preserve">Which of the following does not impact the estimation of the weighted average cost of capital (WACC)? Pick the best answer.</t>
  </si>
  <si>
    <t xml:space="preserve">Cách tiếp cận tài sản: cần chuyên gia thẩm định, dùng nhiều trong báo cáo tài chính (PPA), chạy được dưới nhiều giả định giá trị</t>
  </si>
  <si>
    <t xml:space="preserve">ch5:s12, ch5:s3, ch5:s4, quiz5:Q18, quiz2:Q5</t>
  </si>
  <si>
    <t xml:space="preserve">4.1 + 7.1.3</t>
  </si>
  <si>
    <t xml:space="preserve">Bản chất DCF, và mức giá trị (chi phối hay thiểu số) do giả định quyết định chứ không do suất chiết khấu</t>
  </si>
  <si>
    <t xml:space="preserve">ch4:s1, ch4:s4, ch6:s1, ch7:s5, quiz6:Q22, quiz7:Q15</t>
  </si>
  <si>
    <t xml:space="preserve">Read the following statements. (I) Value is equal to future cash flow discounted at the relevant opportunity cost of capital. (II) In most instances, the equity of a company as determined from the discounted cash flow (DCF) method will compensate the investor for inflation, uncertainty, and the time</t>
  </si>
  <si>
    <t xml:space="preserve">Điều lệ và thỏa thuận cổ đông, việc cân nhắc các cách tiếp cận, và phạm vi của cách tiếp cận chi phí</t>
  </si>
  <si>
    <t xml:space="preserve">ch7:s10, ch5:s3, ch1:s11, synth7:b15, quiz5:Q13</t>
  </si>
  <si>
    <t xml:space="preserve">Thiếu nguyên tắc 'mọi cách tiếp cận đều phải được CÂN NHẮC nhưng không phải cách nào cũng được ÁP DỤNG, tùy thông tin sẵn có, mô hình kinh doanh, bản chất tài sản, kết quả tài chính' — tức mắt xích để kết luận phát biểu (II) là SAI. File chỉ có câu 'chọn theo mức độ liên quan, độ tin cậy và sự sẵn có của đầu vào; dùng riêng lẻ hoặc kết hợp' (ch1:s11), còn viz:approach-tree lại viết 'làm được hai cách thì làm cả hai', đẩy người học sang hướng coi (II) là ĐÚNG và chọn B thay vì C. Hai phát biểu (I) và (III) thì có đủ ở ch7:s10 và ch5:s3.</t>
  </si>
  <si>
    <t xml:space="preserve">Evaluate the following statements. (I) Memorandum and articles of association, and shareholder agreements are rarely useful in determining value. (II) In the conduct of business valuation, all valuation approaches must be considered and applied. (III) The cost approach is more commonly applied in va</t>
  </si>
  <si>
    <t xml:space="preserve">CÁCH CHẤM VÀ ĐIỂM MÙ CỦA PHÉP CHẤM NÀY</t>
  </si>
  <si>
    <t xml:space="preserve">Kiến thức thi được định nghĩa là gì</t>
  </si>
  <si>
    <t xml:space="preserve">Toàn bộ mục đánh số trong cva-prog-module3-valuation-for-transactions.pdf — 113 mục — cộng 60 câu đề thi thử cuối sách. Đây là tài liệu chính thức của chương trình CVA, không phải một danh mục do tôi tự đặt ra.</t>
  </si>
  <si>
    <t xml:space="preserve">Kỳ vọng lấy từ đâu</t>
  </si>
  <si>
    <t xml:space="preserve">Từ NGUỒN, không từ file HTML. Người chấm đọc mục trong giáo trình trước, tự liệt kê các điểm dạy được, rồi mới mở HTML để đối chiếu. Làm ngược lại thì cái gì có trong HTML cũng sẽ khớp với sách, và kết quả luôn ra "đủ".</t>
  </si>
  <si>
    <t xml:space="preserve">Bốn mức chấm</t>
  </si>
  <si>
    <t xml:space="preserve">ĐỦ = mọi điểm dạy được đều có, ở độ sâu tương đương hoặc hơn. MỎNG = có ý chính, hụt chi tiết đề có thể hỏi. THIẾU = điểm cốt lõi không có ở đâu. KHÔNG CẦN = mục không mang nội dung thi (câu chuyển, lời dẫn).</t>
  </si>
  <si>
    <t xml:space="preserve">Cách tính % phủ</t>
  </si>
  <si>
    <t xml:space="preserve">ĐỦ tính 1 điểm, MỎNG tính 0,5 điểm, THIẾU tính 0, các mục KHÔNG CẦN bị loại khỏi mẫu số. Con số này là quy ước để so giữa các chương, không phải xác suất đỗ.</t>
  </si>
  <si>
    <t xml:space="preserve">Cột "Tín hiệu máy" nghĩa là gì</t>
  </si>
  <si>
    <t xml:space="preserve">Phép đếm tự động: bao nhiêu phần trăm mã chuẩn mực và con số của mục xuất hiện lại trong HTML. ĐỪNG DÙNG NÓ THAY CHO CỘT KẾT QUẢ. Nó sai cả hai chiều: 17 mục nó báo từ 80% trở lên nhưng người đọc chấm ra MỎNG hoặc THIẾU, và ngược lại nhiều mục thuần định tính nó báo 0% trong khi nội dung đủ. Cột này để trong file làm bằng chứng rằng phép đo tự động không thay được người đọc.</t>
  </si>
  <si>
    <t xml:space="preserve">Ai chấm</t>
  </si>
  <si>
    <t xml:space="preserve">Mỗi chương do một người soát riêng, không phải người đã soạn chương đó. Mỗi câu đề thi thử được đọc cả lời giải rồi mới đi tìm trong file.</t>
  </si>
  <si>
    <t xml:space="preserve">ĐIỂM MÙ 1 — chấm theo mục, không theo câu hỏi thật</t>
  </si>
  <si>
    <t xml:space="preserve">Một mục chấm ĐỦ vẫn có thể ra một câu hỏi xoáy vào góc mà file không nhấn. Sheet Đề thi thử bù cho điểm mù này, nhưng chỉ với 60 câu; đề thi thật có thể hỏi khác.</t>
  </si>
  <si>
    <t xml:space="preserve">ĐIỂM MÙ 2 — Phụ lục B của Module 3 không được chấm</t>
  </si>
  <si>
    <t xml:space="preserve">Hơn 160 trang nguyên văn IVS 2025. File ôn dẫn số hiệu và trích đoạn khi cần chứ không chép lại. Nếu đề thi hỏi nguyên văn một đoạn IVS thì phép chấm này không nói được gì.</t>
  </si>
  <si>
    <t xml:space="preserve">Cột "Đã vá?" nghĩa là gì</t>
  </si>
  <si>
    <t xml:space="preserve">Sau lần chấm này, toàn bộ mục THIẾU và MỎNG đã được bổ sung vào file HTML: thêm bảng số của sách, thêm ngưỡng và ngoại lệ còn hụt, thêm câu quiz cho các dạng bài chưa có. CẢNH BÁO ĐỌC ĐÚNG: "đã vá" nghĩa là bản vá ĐÃ ĐƯỢC VIẾT theo đúng mô tả ở cột bên cạnh và đã qua cổng kiểm cấu trúc — KHÔNG có nghĩa là mục đó đã được chấm lại độc lập từ đầu. Cột "Kết quả lần chấm" vẫn giữ nguyên kết quả của lần chấm ĐẦU để anh đối chiếu được. Muốn có con số phủ mới thì phải chạy lại trọn vòng chấm.</t>
  </si>
  <si>
    <t xml:space="preserve">ĐIỂM MÙ 3 — không đo chất lượng dạy</t>
  </si>
  <si>
    <t xml:space="preserve">Phép chấm hỏi "nội dung có mặt không", không hỏi "dạy có dễ hiểu không" hay "câu quiz có đúng không". Hai việc đó đã kiểm ở vòng khác: 100% đáp án quiz được dò ngược về câu chữ trong PDF, và văn xuôi tiếng Việt đã qua một lượt đọc nguội độc lập.</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</si>
</sst>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1"/>
      <name val="Arial"/>
      <family val="0"/>
      <charset val="1"/>
    </font>
    <font>
      <b val="true"/>
      <sz val="10"/>
      <color rgb="FFFFFFFF"/>
      <name val="Arial"/>
      <family val="0"/>
      <charset val="1"/>
    </font>
    <font>
      <sz val="10"/>
      <name val="Arial"/>
      <family val="0"/>
      <charset val="1"/>
    </font>
    <font>
      <i val="true"/>
      <sz val="10"/>
      <name val="Arial"/>
      <family val="0"/>
      <charset val="1"/>
    </font>
    <font>
      <b val="true"/>
      <sz val="13"/>
      <color rgb="FF1F3864"/>
      <name val="Arial"/>
      <family val="0"/>
      <charset val="1"/>
    </font>
    <font>
      <b val="true"/>
      <sz val="10"/>
      <name val="Arial"/>
      <family val="0"/>
      <charset val="1"/>
    </font>
    <font>
      <b val="true"/>
      <sz val="12"/>
      <color rgb="FF1F3864"/>
      <name val="Arial"/>
      <family val="0"/>
      <charset val="1"/>
    </font>
    <font>
      <b val="true"/>
      <sz val="10"/>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AD3"/>
        <bgColor rgb="FFEAEFF7"/>
      </patternFill>
    </fill>
    <fill>
      <patternFill patternType="solid">
        <fgColor rgb="FFFFF2CC"/>
        <bgColor rgb="FFF2F2F2"/>
      </patternFill>
    </fill>
    <fill>
      <patternFill patternType="solid">
        <fgColor rgb="FFEAEFF7"/>
        <bgColor rgb="FFF2F2F2"/>
      </patternFill>
    </fill>
    <fill>
      <patternFill patternType="solid">
        <fgColor rgb="FFF2F2F2"/>
        <bgColor rgb="FFEAEFF7"/>
      </patternFill>
    </fill>
    <fill>
      <patternFill patternType="solid">
        <fgColor rgb="FFF8D7DA"/>
        <bgColor rgb="FFFFF2CC"/>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5"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2F2F2"/>
          <bgColor rgb="FF000000"/>
        </patternFill>
      </fill>
    </dxf>
    <dxf>
      <fill>
        <patternFill patternType="solid">
          <fgColor rgb="FFF8D7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AEFF7"/>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F2F2F2"/>
      <rgbColor rgb="FFD9EAD3"/>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96"/>
    <col collapsed="false" customWidth="true" hidden="false" outlineLevel="0" max="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row>
    <row r="5" customFormat="false" ht="15" hidden="false" customHeight="false" outlineLevel="0" collapsed="false">
      <c r="A5" s="4" t="n">
        <v>1</v>
      </c>
      <c r="B5" s="4" t="s">
        <v>6</v>
      </c>
      <c r="C5" s="5" t="s">
        <v>7</v>
      </c>
      <c r="D5" s="4" t="n">
        <v>7</v>
      </c>
    </row>
    <row r="6" customFormat="false" ht="15" hidden="false" customHeight="false" outlineLevel="0" collapsed="false">
      <c r="A6" s="4" t="n">
        <v>2</v>
      </c>
      <c r="B6" s="4" t="s">
        <v>8</v>
      </c>
      <c r="C6" s="5" t="s">
        <v>9</v>
      </c>
      <c r="D6" s="4" t="n">
        <v>113</v>
      </c>
    </row>
    <row r="7" customFormat="false" ht="15" hidden="false" customHeight="false" outlineLevel="0" collapsed="false">
      <c r="A7" s="4" t="n">
        <v>3</v>
      </c>
      <c r="B7" s="4" t="s">
        <v>10</v>
      </c>
      <c r="C7" s="5" t="s">
        <v>11</v>
      </c>
      <c r="D7" s="4" t="n">
        <v>28</v>
      </c>
    </row>
    <row r="8" customFormat="false" ht="15" hidden="false" customHeight="false" outlineLevel="0" collapsed="false">
      <c r="A8" s="4" t="n">
        <v>4</v>
      </c>
      <c r="B8" s="4" t="s">
        <v>12</v>
      </c>
      <c r="C8" s="5" t="s">
        <v>13</v>
      </c>
      <c r="D8" s="4" t="n">
        <v>60</v>
      </c>
    </row>
    <row r="9" customFormat="false" ht="15" hidden="false" customHeight="false" outlineLevel="0" collapsed="false">
      <c r="A9" s="4" t="n">
        <v>5</v>
      </c>
      <c r="B9" s="4" t="s">
        <v>14</v>
      </c>
      <c r="C9" s="5" t="s">
        <v>15</v>
      </c>
      <c r="D9" s="4" t="n">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5" topLeftCell="A2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0"/>
    <col collapsed="false" customWidth="true" hidden="false" outlineLevel="0" max="4" min="4" style="0" width="96"/>
    <col collapsed="false" customWidth="true" hidden="false" outlineLevel="0" max="5" min="5" style="0" width="78"/>
    <col collapsed="false" customWidth="true" hidden="false" outlineLevel="0" max="7" min="6" style="0" width="8"/>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62"/>
  </cols>
  <sheetData>
    <row r="1" customFormat="false" ht="17.35" hidden="false" customHeight="false" outlineLevel="0" collapsed="false">
      <c r="A1" s="1" t="s">
        <v>16</v>
      </c>
    </row>
    <row r="2" customFormat="false" ht="15" hidden="false" customHeight="false" outlineLevel="0" collapsed="false">
      <c r="A2" s="6" t="s">
        <v>17</v>
      </c>
    </row>
    <row r="4" customFormat="false" ht="16.15" hidden="false" customHeight="false" outlineLevel="0" collapsed="false">
      <c r="A4" s="7" t="s">
        <v>18</v>
      </c>
    </row>
    <row r="5" customFormat="false" ht="30" hidden="false" customHeight="true" outlineLevel="0" collapsed="false">
      <c r="A5" s="3" t="s">
        <v>19</v>
      </c>
      <c r="B5" s="3" t="s">
        <v>20</v>
      </c>
      <c r="C5" s="3" t="s">
        <v>21</v>
      </c>
      <c r="D5" s="3" t="s">
        <v>22</v>
      </c>
      <c r="E5" s="3" t="s">
        <v>23</v>
      </c>
      <c r="F5" s="3" t="s">
        <v>24</v>
      </c>
      <c r="G5" s="3" t="s">
        <v>25</v>
      </c>
      <c r="H5" s="3" t="s">
        <v>26</v>
      </c>
      <c r="I5" s="3" t="s">
        <v>27</v>
      </c>
      <c r="J5" s="3" t="s">
        <v>28</v>
      </c>
      <c r="K5" s="3" t="s">
        <v>29</v>
      </c>
    </row>
    <row r="6" customFormat="false" ht="23.85" hidden="false" customHeight="false" outlineLevel="0" collapsed="false">
      <c r="A6" s="5" t="s">
        <v>30</v>
      </c>
      <c r="B6" s="4" t="s">
        <v>31</v>
      </c>
      <c r="C6" s="4" t="s">
        <v>32</v>
      </c>
      <c r="D6" s="4" t="n">
        <v>14</v>
      </c>
      <c r="E6" s="4" t="n">
        <v>12</v>
      </c>
      <c r="F6" s="4" t="n">
        <v>2</v>
      </c>
      <c r="G6" s="4" t="n">
        <v>0</v>
      </c>
      <c r="H6" s="4" t="n">
        <v>0</v>
      </c>
      <c r="I6" s="8" t="n">
        <f aca="false">IF(D6-H6=0,"",(E6+0.5*F6)/(D6-H6))</f>
        <v>0.928571428571429</v>
      </c>
      <c r="J6" s="9" t="s">
        <v>33</v>
      </c>
      <c r="K6" s="5" t="s">
        <v>34</v>
      </c>
    </row>
    <row r="7" customFormat="false" ht="15" hidden="false" customHeight="false" outlineLevel="0" collapsed="false">
      <c r="A7" s="5" t="s">
        <v>35</v>
      </c>
      <c r="B7" s="4" t="s">
        <v>36</v>
      </c>
      <c r="C7" s="4" t="s">
        <v>37</v>
      </c>
      <c r="D7" s="4" t="n">
        <v>22</v>
      </c>
      <c r="E7" s="4" t="n">
        <v>14</v>
      </c>
      <c r="F7" s="4" t="n">
        <v>7</v>
      </c>
      <c r="G7" s="4" t="n">
        <v>1</v>
      </c>
      <c r="H7" s="4" t="n">
        <v>0</v>
      </c>
      <c r="I7" s="10" t="n">
        <f aca="false">IF(D7-H7=0,"",(E7+0.5*F7)/(D7-H7))</f>
        <v>0.795454545454545</v>
      </c>
      <c r="J7" s="11" t="s">
        <v>38</v>
      </c>
      <c r="K7" s="5" t="s">
        <v>39</v>
      </c>
    </row>
    <row r="8" customFormat="false" ht="23.85" hidden="false" customHeight="false" outlineLevel="0" collapsed="false">
      <c r="A8" s="5" t="s">
        <v>40</v>
      </c>
      <c r="B8" s="4" t="s">
        <v>41</v>
      </c>
      <c r="C8" s="4" t="s">
        <v>42</v>
      </c>
      <c r="D8" s="4" t="n">
        <v>13</v>
      </c>
      <c r="E8" s="4" t="n">
        <v>10</v>
      </c>
      <c r="F8" s="4" t="n">
        <v>2</v>
      </c>
      <c r="G8" s="4" t="n">
        <v>0</v>
      </c>
      <c r="H8" s="4" t="n">
        <v>1</v>
      </c>
      <c r="I8" s="8" t="n">
        <f aca="false">IF(D8-H8=0,"",(E8+0.5*F8)/(D8-H8))</f>
        <v>0.916666666666667</v>
      </c>
      <c r="J8" s="9" t="s">
        <v>33</v>
      </c>
      <c r="K8" s="5" t="s">
        <v>43</v>
      </c>
    </row>
    <row r="9" customFormat="false" ht="23.85" hidden="false" customHeight="false" outlineLevel="0" collapsed="false">
      <c r="A9" s="5" t="s">
        <v>44</v>
      </c>
      <c r="B9" s="4" t="s">
        <v>45</v>
      </c>
      <c r="C9" s="4" t="s">
        <v>46</v>
      </c>
      <c r="D9" s="4" t="n">
        <v>24</v>
      </c>
      <c r="E9" s="4" t="n">
        <v>15</v>
      </c>
      <c r="F9" s="4" t="n">
        <v>8</v>
      </c>
      <c r="G9" s="4" t="n">
        <v>0</v>
      </c>
      <c r="H9" s="4" t="n">
        <v>1</v>
      </c>
      <c r="I9" s="10" t="n">
        <f aca="false">IF(D9-H9=0,"",(E9+0.5*F9)/(D9-H9))</f>
        <v>0.826086956521739</v>
      </c>
      <c r="J9" s="11" t="s">
        <v>38</v>
      </c>
      <c r="K9" s="5" t="s">
        <v>47</v>
      </c>
    </row>
    <row r="10" customFormat="false" ht="23.85" hidden="false" customHeight="false" outlineLevel="0" collapsed="false">
      <c r="A10" s="5" t="s">
        <v>48</v>
      </c>
      <c r="B10" s="4" t="s">
        <v>49</v>
      </c>
      <c r="C10" s="4" t="s">
        <v>50</v>
      </c>
      <c r="D10" s="4" t="n">
        <v>11</v>
      </c>
      <c r="E10" s="4" t="n">
        <v>9</v>
      </c>
      <c r="F10" s="4" t="n">
        <v>1</v>
      </c>
      <c r="G10" s="4" t="n">
        <v>0</v>
      </c>
      <c r="H10" s="4" t="n">
        <v>1</v>
      </c>
      <c r="I10" s="8" t="n">
        <f aca="false">IF(D10-H10=0,"",(E10+0.5*F10)/(D10-H10))</f>
        <v>0.95</v>
      </c>
      <c r="J10" s="9" t="s">
        <v>51</v>
      </c>
      <c r="K10" s="5" t="s">
        <v>52</v>
      </c>
    </row>
    <row r="11" customFormat="false" ht="23.85" hidden="false" customHeight="false" outlineLevel="0" collapsed="false">
      <c r="A11" s="5" t="s">
        <v>53</v>
      </c>
      <c r="B11" s="4" t="s">
        <v>54</v>
      </c>
      <c r="C11" s="4" t="s">
        <v>55</v>
      </c>
      <c r="D11" s="4" t="n">
        <v>13</v>
      </c>
      <c r="E11" s="4" t="n">
        <v>10</v>
      </c>
      <c r="F11" s="4" t="n">
        <v>2</v>
      </c>
      <c r="G11" s="4" t="n">
        <v>0</v>
      </c>
      <c r="H11" s="4" t="n">
        <v>1</v>
      </c>
      <c r="I11" s="8" t="n">
        <f aca="false">IF(D11-H11=0,"",(E11+0.5*F11)/(D11-H11))</f>
        <v>0.916666666666667</v>
      </c>
      <c r="J11" s="9" t="s">
        <v>33</v>
      </c>
      <c r="K11" s="5" t="s">
        <v>56</v>
      </c>
    </row>
    <row r="12" customFormat="false" ht="15" hidden="false" customHeight="false" outlineLevel="0" collapsed="false">
      <c r="A12" s="5" t="s">
        <v>57</v>
      </c>
      <c r="B12" s="4" t="s">
        <v>58</v>
      </c>
      <c r="C12" s="4" t="s">
        <v>59</v>
      </c>
      <c r="D12" s="4" t="n">
        <v>16</v>
      </c>
      <c r="E12" s="4" t="n">
        <v>8</v>
      </c>
      <c r="F12" s="4" t="n">
        <v>5</v>
      </c>
      <c r="G12" s="4" t="n">
        <v>0</v>
      </c>
      <c r="H12" s="4" t="n">
        <v>3</v>
      </c>
      <c r="I12" s="10" t="n">
        <f aca="false">IF(D12-H12=0,"",(E12+0.5*F12)/(D12-H12))</f>
        <v>0.807692307692308</v>
      </c>
      <c r="J12" s="11" t="s">
        <v>38</v>
      </c>
      <c r="K12" s="5" t="s">
        <v>60</v>
      </c>
    </row>
    <row r="13" customFormat="false" ht="23.85" hidden="false" customHeight="false" outlineLevel="0" collapsed="false">
      <c r="A13" s="12" t="s">
        <v>61</v>
      </c>
      <c r="B13" s="12"/>
      <c r="C13" s="12"/>
      <c r="D13" s="12" t="n">
        <f aca="false">SUM(D6:D12)</f>
        <v>113</v>
      </c>
      <c r="E13" s="12" t="n">
        <f aca="false">SUM(E6:E12)</f>
        <v>78</v>
      </c>
      <c r="F13" s="12" t="n">
        <f aca="false">SUM(F6:F12)</f>
        <v>27</v>
      </c>
      <c r="G13" s="12" t="n">
        <f aca="false">SUM(G6:G12)</f>
        <v>1</v>
      </c>
      <c r="H13" s="12" t="n">
        <f aca="false">SUM(H6:H12)</f>
        <v>7</v>
      </c>
      <c r="I13" s="13" t="n">
        <f aca="false">(E13+0.5*F13)/(D13-H13)</f>
        <v>0.863207547169811</v>
      </c>
      <c r="J13" s="12"/>
      <c r="K13" s="14" t="s">
        <v>62</v>
      </c>
    </row>
    <row r="16" customFormat="false" ht="16.15" hidden="false" customHeight="false" outlineLevel="0" collapsed="false">
      <c r="A16" s="7" t="s">
        <v>63</v>
      </c>
    </row>
    <row r="17" customFormat="false" ht="30" hidden="false" customHeight="true" outlineLevel="0" collapsed="false">
      <c r="A17" s="3" t="s">
        <v>64</v>
      </c>
      <c r="B17" s="3" t="s">
        <v>20</v>
      </c>
      <c r="C17" s="3" t="s">
        <v>65</v>
      </c>
      <c r="D17" s="3" t="s">
        <v>66</v>
      </c>
      <c r="E17" s="3" t="s">
        <v>29</v>
      </c>
    </row>
    <row r="18" customFormat="false" ht="15" hidden="false" customHeight="false" outlineLevel="0" collapsed="false">
      <c r="A18" s="5" t="s">
        <v>67</v>
      </c>
      <c r="B18" s="4" t="s">
        <v>68</v>
      </c>
      <c r="C18" s="4" t="s">
        <v>69</v>
      </c>
      <c r="D18" s="15" t="s">
        <v>70</v>
      </c>
      <c r="E18" s="5" t="s">
        <v>71</v>
      </c>
    </row>
    <row r="19" customFormat="false" ht="23.85" hidden="false" customHeight="false" outlineLevel="0" collapsed="false">
      <c r="A19" s="5" t="s">
        <v>72</v>
      </c>
      <c r="B19" s="4" t="s">
        <v>73</v>
      </c>
      <c r="C19" s="4" t="s">
        <v>69</v>
      </c>
      <c r="D19" s="15" t="s">
        <v>70</v>
      </c>
      <c r="E19" s="5" t="s">
        <v>74</v>
      </c>
    </row>
    <row r="20" customFormat="false" ht="23.85" hidden="false" customHeight="false" outlineLevel="0" collapsed="false">
      <c r="A20" s="5" t="s">
        <v>75</v>
      </c>
      <c r="B20" s="4" t="s">
        <v>76</v>
      </c>
      <c r="C20" s="4" t="s">
        <v>77</v>
      </c>
      <c r="D20" s="11" t="s">
        <v>78</v>
      </c>
      <c r="E20" s="5" t="s">
        <v>79</v>
      </c>
    </row>
    <row r="21" customFormat="false" ht="23.85" hidden="false" customHeight="false" outlineLevel="0" collapsed="false">
      <c r="A21" s="5" t="s">
        <v>80</v>
      </c>
      <c r="B21" s="4" t="s">
        <v>81</v>
      </c>
      <c r="C21" s="4" t="s">
        <v>82</v>
      </c>
      <c r="D21" s="15" t="s">
        <v>83</v>
      </c>
      <c r="E21" s="5" t="s">
        <v>84</v>
      </c>
    </row>
    <row r="24" customFormat="false" ht="16.15" hidden="false" customHeight="false" outlineLevel="0" collapsed="false">
      <c r="A24" s="7" t="s">
        <v>85</v>
      </c>
    </row>
    <row r="25" customFormat="false" ht="30" hidden="false" customHeight="true" outlineLevel="0" collapsed="false">
      <c r="A25" s="3" t="s">
        <v>86</v>
      </c>
      <c r="B25" s="3" t="s">
        <v>87</v>
      </c>
      <c r="C25" s="3" t="s">
        <v>88</v>
      </c>
      <c r="D25" s="3" t="s">
        <v>89</v>
      </c>
    </row>
    <row r="26" customFormat="false" ht="15" hidden="false" customHeight="false" outlineLevel="0" collapsed="false">
      <c r="A26" s="9" t="s">
        <v>90</v>
      </c>
      <c r="B26" s="4" t="n">
        <v>50</v>
      </c>
      <c r="C26" s="16" t="n">
        <f aca="false">B26/60</f>
        <v>0.833333333333333</v>
      </c>
      <c r="D26" s="5" t="s">
        <v>91</v>
      </c>
    </row>
    <row r="27" customFormat="false" ht="15" hidden="false" customHeight="false" outlineLevel="0" collapsed="false">
      <c r="A27" s="11" t="s">
        <v>92</v>
      </c>
      <c r="B27" s="4" t="n">
        <v>10</v>
      </c>
      <c r="C27" s="16" t="n">
        <f aca="false">B27/60</f>
        <v>0.166666666666667</v>
      </c>
      <c r="D27" s="5" t="s">
        <v>93</v>
      </c>
    </row>
    <row r="28" customFormat="false" ht="15" hidden="false" customHeight="false" outlineLevel="0" collapsed="false">
      <c r="A28" s="17" t="s">
        <v>94</v>
      </c>
      <c r="B28" s="4" t="n">
        <v>0</v>
      </c>
      <c r="C28" s="16" t="n">
        <f aca="false">B28/60</f>
        <v>0</v>
      </c>
      <c r="D28" s="5"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4" min="3" style="0" width="9"/>
    <col collapsed="false" customWidth="true" hidden="false" outlineLevel="0" max="5" min="5" style="0" width="12"/>
    <col collapsed="false" customWidth="true" hidden="false" outlineLevel="0" max="6" min="6" style="0" width="10"/>
    <col collapsed="false" customWidth="true" hidden="false" outlineLevel="0" max="7" min="7" style="0" width="11"/>
    <col collapsed="false" customWidth="true" hidden="false" outlineLevel="0" max="8" min="8" style="0" width="8"/>
    <col collapsed="false" customWidth="true" hidden="false" outlineLevel="0" max="9" min="9" style="0" width="30"/>
    <col collapsed="false" customWidth="true" hidden="false" outlineLevel="0" max="11" min="10" style="0" width="60"/>
    <col collapsed="false" customWidth="true" hidden="false" outlineLevel="0" max="12" min="12" style="0" width="11"/>
  </cols>
  <sheetData>
    <row r="1" customFormat="false" ht="30" hidden="false" customHeight="true" outlineLevel="0" collapsed="false">
      <c r="A1" s="3" t="s">
        <v>96</v>
      </c>
      <c r="B1" s="3" t="s">
        <v>97</v>
      </c>
      <c r="C1" s="3" t="s">
        <v>98</v>
      </c>
      <c r="D1" s="3" t="s">
        <v>99</v>
      </c>
      <c r="E1" s="3" t="s">
        <v>100</v>
      </c>
      <c r="F1" s="3" t="s">
        <v>101</v>
      </c>
      <c r="G1" s="3" t="s">
        <v>102</v>
      </c>
      <c r="H1" s="3" t="s">
        <v>103</v>
      </c>
      <c r="I1" s="3" t="s">
        <v>65</v>
      </c>
      <c r="J1" s="3" t="s">
        <v>104</v>
      </c>
      <c r="K1" s="3" t="s">
        <v>105</v>
      </c>
      <c r="L1" s="3" t="s">
        <v>106</v>
      </c>
    </row>
    <row r="2" customFormat="false" ht="23.85" hidden="false" customHeight="false" outlineLevel="0" collapsed="false">
      <c r="A2" s="4" t="s">
        <v>107</v>
      </c>
      <c r="B2" s="5" t="s">
        <v>108</v>
      </c>
      <c r="C2" s="4" t="s">
        <v>32</v>
      </c>
      <c r="D2" s="4" t="n">
        <v>989</v>
      </c>
      <c r="E2" s="9" t="s">
        <v>23</v>
      </c>
      <c r="F2" s="4"/>
      <c r="G2" s="4" t="s">
        <v>109</v>
      </c>
      <c r="H2" s="4" t="n">
        <v>4</v>
      </c>
      <c r="I2" s="5" t="s">
        <v>110</v>
      </c>
      <c r="J2" s="5"/>
      <c r="K2" s="5"/>
      <c r="L2" s="16" t="n">
        <v>0.38</v>
      </c>
    </row>
    <row r="3" customFormat="false" ht="23.85" hidden="false" customHeight="false" outlineLevel="0" collapsed="false">
      <c r="A3" s="4" t="s">
        <v>111</v>
      </c>
      <c r="B3" s="5" t="s">
        <v>112</v>
      </c>
      <c r="C3" s="4" t="s">
        <v>32</v>
      </c>
      <c r="D3" s="4" t="n">
        <v>872</v>
      </c>
      <c r="E3" s="9" t="s">
        <v>23</v>
      </c>
      <c r="F3" s="4"/>
      <c r="G3" s="4" t="s">
        <v>109</v>
      </c>
      <c r="H3" s="4" t="n">
        <v>4</v>
      </c>
      <c r="I3" s="5" t="s">
        <v>113</v>
      </c>
      <c r="J3" s="5"/>
      <c r="K3" s="5"/>
      <c r="L3" s="16" t="n">
        <v>1</v>
      </c>
    </row>
    <row r="4" customFormat="false" ht="15" hidden="false" customHeight="false" outlineLevel="0" collapsed="false">
      <c r="A4" s="4" t="s">
        <v>114</v>
      </c>
      <c r="B4" s="5" t="s">
        <v>115</v>
      </c>
      <c r="C4" s="4" t="s">
        <v>32</v>
      </c>
      <c r="D4" s="4" t="n">
        <v>71</v>
      </c>
      <c r="E4" s="9" t="s">
        <v>23</v>
      </c>
      <c r="F4" s="4"/>
      <c r="G4" s="4" t="s">
        <v>116</v>
      </c>
      <c r="H4" s="4" t="n">
        <v>0</v>
      </c>
      <c r="I4" s="5" t="s">
        <v>117</v>
      </c>
      <c r="J4" s="5"/>
      <c r="K4" s="5"/>
      <c r="L4" s="16" t="n">
        <v>1</v>
      </c>
    </row>
    <row r="5" customFormat="false" ht="15" hidden="false" customHeight="false" outlineLevel="0" collapsed="false">
      <c r="A5" s="4" t="s">
        <v>118</v>
      </c>
      <c r="B5" s="5" t="s">
        <v>119</v>
      </c>
      <c r="C5" s="4" t="s">
        <v>32</v>
      </c>
      <c r="D5" s="4" t="n">
        <v>243</v>
      </c>
      <c r="E5" s="9" t="s">
        <v>23</v>
      </c>
      <c r="F5" s="4"/>
      <c r="G5" s="4" t="s">
        <v>120</v>
      </c>
      <c r="H5" s="4" t="n">
        <v>0</v>
      </c>
      <c r="I5" s="5" t="s">
        <v>121</v>
      </c>
      <c r="J5" s="5"/>
      <c r="K5" s="5"/>
      <c r="L5" s="16" t="n">
        <v>0</v>
      </c>
    </row>
    <row r="6" customFormat="false" ht="15" hidden="false" customHeight="false" outlineLevel="0" collapsed="false">
      <c r="A6" s="4" t="s">
        <v>122</v>
      </c>
      <c r="B6" s="5" t="s">
        <v>123</v>
      </c>
      <c r="C6" s="4" t="s">
        <v>32</v>
      </c>
      <c r="D6" s="4" t="n">
        <v>160</v>
      </c>
      <c r="E6" s="9" t="s">
        <v>23</v>
      </c>
      <c r="F6" s="4"/>
      <c r="G6" s="4" t="s">
        <v>109</v>
      </c>
      <c r="H6" s="4" t="n">
        <v>2</v>
      </c>
      <c r="I6" s="5" t="s">
        <v>124</v>
      </c>
      <c r="J6" s="5"/>
      <c r="K6" s="5"/>
      <c r="L6" s="16" t="n">
        <v>1</v>
      </c>
    </row>
    <row r="7" customFormat="false" ht="79.85" hidden="false" customHeight="false" outlineLevel="0" collapsed="false">
      <c r="A7" s="4" t="s">
        <v>125</v>
      </c>
      <c r="B7" s="5" t="s">
        <v>126</v>
      </c>
      <c r="C7" s="4" t="s">
        <v>32</v>
      </c>
      <c r="D7" s="4" t="n">
        <v>1403</v>
      </c>
      <c r="E7" s="11" t="s">
        <v>24</v>
      </c>
      <c r="F7" s="9" t="s">
        <v>127</v>
      </c>
      <c r="G7" s="4" t="s">
        <v>109</v>
      </c>
      <c r="H7" s="4" t="n">
        <v>4</v>
      </c>
      <c r="I7" s="5" t="s">
        <v>128</v>
      </c>
      <c r="J7" s="5" t="s">
        <v>129</v>
      </c>
      <c r="K7" s="5" t="s">
        <v>130</v>
      </c>
      <c r="L7" s="16" t="n">
        <v>1</v>
      </c>
    </row>
    <row r="8" customFormat="false" ht="15" hidden="false" customHeight="false" outlineLevel="0" collapsed="false">
      <c r="A8" s="4" t="s">
        <v>131</v>
      </c>
      <c r="B8" s="5" t="s">
        <v>132</v>
      </c>
      <c r="C8" s="4" t="s">
        <v>32</v>
      </c>
      <c r="D8" s="4" t="n">
        <v>79</v>
      </c>
      <c r="E8" s="9" t="s">
        <v>23</v>
      </c>
      <c r="F8" s="4"/>
      <c r="G8" s="4" t="s">
        <v>116</v>
      </c>
      <c r="H8" s="4" t="n">
        <v>0</v>
      </c>
      <c r="I8" s="5" t="s">
        <v>133</v>
      </c>
      <c r="J8" s="5"/>
      <c r="K8" s="5"/>
      <c r="L8" s="16" t="n">
        <v>1</v>
      </c>
    </row>
    <row r="9" customFormat="false" ht="15" hidden="false" customHeight="false" outlineLevel="0" collapsed="false">
      <c r="A9" s="4" t="s">
        <v>134</v>
      </c>
      <c r="B9" s="5" t="s">
        <v>135</v>
      </c>
      <c r="C9" s="4" t="s">
        <v>32</v>
      </c>
      <c r="D9" s="4" t="n">
        <v>186</v>
      </c>
      <c r="E9" s="9" t="s">
        <v>23</v>
      </c>
      <c r="F9" s="4"/>
      <c r="G9" s="4" t="s">
        <v>109</v>
      </c>
      <c r="H9" s="4" t="n">
        <v>1</v>
      </c>
      <c r="I9" s="5" t="s">
        <v>136</v>
      </c>
      <c r="J9" s="5"/>
      <c r="K9" s="5"/>
      <c r="L9" s="16" t="n">
        <v>1</v>
      </c>
    </row>
    <row r="10" customFormat="false" ht="23.85" hidden="false" customHeight="false" outlineLevel="0" collapsed="false">
      <c r="A10" s="4" t="s">
        <v>137</v>
      </c>
      <c r="B10" s="5" t="s">
        <v>138</v>
      </c>
      <c r="C10" s="4" t="s">
        <v>32</v>
      </c>
      <c r="D10" s="4" t="n">
        <v>1088</v>
      </c>
      <c r="E10" s="9" t="s">
        <v>23</v>
      </c>
      <c r="F10" s="4"/>
      <c r="G10" s="4" t="s">
        <v>109</v>
      </c>
      <c r="H10" s="4" t="n">
        <v>3</v>
      </c>
      <c r="I10" s="5" t="s">
        <v>139</v>
      </c>
      <c r="J10" s="5"/>
      <c r="K10" s="5"/>
      <c r="L10" s="16" t="n">
        <v>0.92</v>
      </c>
    </row>
    <row r="11" customFormat="false" ht="35.05" hidden="false" customHeight="false" outlineLevel="0" collapsed="false">
      <c r="A11" s="4" t="s">
        <v>140</v>
      </c>
      <c r="B11" s="5" t="s">
        <v>141</v>
      </c>
      <c r="C11" s="4" t="s">
        <v>32</v>
      </c>
      <c r="D11" s="4" t="n">
        <v>665</v>
      </c>
      <c r="E11" s="9" t="s">
        <v>23</v>
      </c>
      <c r="F11" s="4"/>
      <c r="G11" s="4" t="s">
        <v>109</v>
      </c>
      <c r="H11" s="4" t="n">
        <v>2</v>
      </c>
      <c r="I11" s="5" t="s">
        <v>142</v>
      </c>
      <c r="J11" s="5"/>
      <c r="K11" s="5"/>
      <c r="L11" s="16" t="n">
        <v>1</v>
      </c>
    </row>
    <row r="12" customFormat="false" ht="15" hidden="false" customHeight="false" outlineLevel="0" collapsed="false">
      <c r="A12" s="4" t="s">
        <v>143</v>
      </c>
      <c r="B12" s="5" t="s">
        <v>144</v>
      </c>
      <c r="C12" s="4" t="s">
        <v>32</v>
      </c>
      <c r="D12" s="4" t="n">
        <v>736</v>
      </c>
      <c r="E12" s="9" t="s">
        <v>23</v>
      </c>
      <c r="F12" s="4"/>
      <c r="G12" s="4" t="s">
        <v>109</v>
      </c>
      <c r="H12" s="4" t="n">
        <v>2</v>
      </c>
      <c r="I12" s="5" t="s">
        <v>145</v>
      </c>
      <c r="J12" s="5"/>
      <c r="K12" s="5"/>
      <c r="L12" s="16" t="n">
        <v>1</v>
      </c>
    </row>
    <row r="13" customFormat="false" ht="23.85" hidden="false" customHeight="false" outlineLevel="0" collapsed="false">
      <c r="A13" s="4" t="s">
        <v>146</v>
      </c>
      <c r="B13" s="5" t="s">
        <v>147</v>
      </c>
      <c r="C13" s="4" t="s">
        <v>32</v>
      </c>
      <c r="D13" s="4" t="n">
        <v>892</v>
      </c>
      <c r="E13" s="9" t="s">
        <v>23</v>
      </c>
      <c r="F13" s="4"/>
      <c r="G13" s="4" t="s">
        <v>120</v>
      </c>
      <c r="H13" s="4" t="n">
        <v>1</v>
      </c>
      <c r="I13" s="5" t="s">
        <v>148</v>
      </c>
      <c r="J13" s="5"/>
      <c r="K13" s="5"/>
      <c r="L13" s="16" t="n">
        <v>0.92</v>
      </c>
    </row>
    <row r="14" customFormat="false" ht="102.2" hidden="false" customHeight="false" outlineLevel="0" collapsed="false">
      <c r="A14" s="4" t="s">
        <v>149</v>
      </c>
      <c r="B14" s="5" t="s">
        <v>150</v>
      </c>
      <c r="C14" s="4" t="s">
        <v>32</v>
      </c>
      <c r="D14" s="4" t="n">
        <v>308</v>
      </c>
      <c r="E14" s="11" t="s">
        <v>24</v>
      </c>
      <c r="F14" s="9" t="s">
        <v>127</v>
      </c>
      <c r="G14" s="4" t="s">
        <v>120</v>
      </c>
      <c r="H14" s="4" t="n">
        <v>1</v>
      </c>
      <c r="I14" s="5" t="s">
        <v>151</v>
      </c>
      <c r="J14" s="5" t="s">
        <v>152</v>
      </c>
      <c r="K14" s="5" t="s">
        <v>153</v>
      </c>
      <c r="L14" s="16" t="n">
        <v>1</v>
      </c>
    </row>
    <row r="15" customFormat="false" ht="23.85" hidden="false" customHeight="false" outlineLevel="0" collapsed="false">
      <c r="A15" s="4" t="s">
        <v>154</v>
      </c>
      <c r="B15" s="5" t="s">
        <v>155</v>
      </c>
      <c r="C15" s="4" t="s">
        <v>32</v>
      </c>
      <c r="D15" s="4" t="n">
        <v>1233</v>
      </c>
      <c r="E15" s="9" t="s">
        <v>23</v>
      </c>
      <c r="F15" s="4"/>
      <c r="G15" s="4" t="s">
        <v>120</v>
      </c>
      <c r="H15" s="4" t="n">
        <v>1</v>
      </c>
      <c r="I15" s="5" t="s">
        <v>156</v>
      </c>
      <c r="J15" s="5"/>
      <c r="K15" s="5"/>
      <c r="L15" s="16" t="n">
        <v>0.92</v>
      </c>
    </row>
    <row r="16" customFormat="false" ht="23.85" hidden="false" customHeight="false" outlineLevel="0" collapsed="false">
      <c r="A16" s="4" t="s">
        <v>157</v>
      </c>
      <c r="B16" s="5" t="s">
        <v>158</v>
      </c>
      <c r="C16" s="4" t="s">
        <v>37</v>
      </c>
      <c r="D16" s="4" t="n">
        <v>92</v>
      </c>
      <c r="E16" s="9" t="s">
        <v>23</v>
      </c>
      <c r="F16" s="4"/>
      <c r="G16" s="4" t="s">
        <v>116</v>
      </c>
      <c r="H16" s="4" t="n">
        <v>0</v>
      </c>
      <c r="I16" s="5" t="s">
        <v>159</v>
      </c>
      <c r="J16" s="5"/>
      <c r="K16" s="5"/>
      <c r="L16" s="16" t="n">
        <v>1</v>
      </c>
    </row>
    <row r="17" customFormat="false" ht="15" hidden="false" customHeight="false" outlineLevel="0" collapsed="false">
      <c r="A17" s="4" t="s">
        <v>160</v>
      </c>
      <c r="B17" s="5" t="s">
        <v>161</v>
      </c>
      <c r="C17" s="4" t="s">
        <v>37</v>
      </c>
      <c r="D17" s="4" t="n">
        <v>371</v>
      </c>
      <c r="E17" s="9" t="s">
        <v>23</v>
      </c>
      <c r="F17" s="4"/>
      <c r="G17" s="4" t="s">
        <v>120</v>
      </c>
      <c r="H17" s="4" t="n">
        <v>0</v>
      </c>
      <c r="I17" s="5" t="s">
        <v>159</v>
      </c>
      <c r="J17" s="5"/>
      <c r="K17" s="5"/>
      <c r="L17" s="16" t="n">
        <v>1</v>
      </c>
    </row>
    <row r="18" customFormat="false" ht="91" hidden="false" customHeight="false" outlineLevel="0" collapsed="false">
      <c r="A18" s="4" t="s">
        <v>162</v>
      </c>
      <c r="B18" s="5" t="s">
        <v>163</v>
      </c>
      <c r="C18" s="4" t="s">
        <v>37</v>
      </c>
      <c r="D18" s="4" t="n">
        <v>1138</v>
      </c>
      <c r="E18" s="11" t="s">
        <v>24</v>
      </c>
      <c r="F18" s="9" t="s">
        <v>127</v>
      </c>
      <c r="G18" s="4" t="s">
        <v>109</v>
      </c>
      <c r="H18" s="4" t="n">
        <v>1</v>
      </c>
      <c r="I18" s="5" t="s">
        <v>164</v>
      </c>
      <c r="J18" s="5" t="s">
        <v>165</v>
      </c>
      <c r="K18" s="5" t="s">
        <v>166</v>
      </c>
      <c r="L18" s="16" t="n">
        <v>1</v>
      </c>
    </row>
    <row r="19" customFormat="false" ht="79.85" hidden="false" customHeight="false" outlineLevel="0" collapsed="false">
      <c r="A19" s="4" t="s">
        <v>167</v>
      </c>
      <c r="B19" s="5" t="s">
        <v>168</v>
      </c>
      <c r="C19" s="4" t="s">
        <v>37</v>
      </c>
      <c r="D19" s="4" t="n">
        <v>2370</v>
      </c>
      <c r="E19" s="11" t="s">
        <v>24</v>
      </c>
      <c r="F19" s="9" t="s">
        <v>127</v>
      </c>
      <c r="G19" s="4" t="s">
        <v>109</v>
      </c>
      <c r="H19" s="4" t="n">
        <v>7</v>
      </c>
      <c r="I19" s="5" t="s">
        <v>169</v>
      </c>
      <c r="J19" s="5" t="s">
        <v>170</v>
      </c>
      <c r="K19" s="5" t="s">
        <v>171</v>
      </c>
      <c r="L19" s="16" t="n">
        <v>0.85</v>
      </c>
    </row>
    <row r="20" customFormat="false" ht="35.05" hidden="false" customHeight="false" outlineLevel="0" collapsed="false">
      <c r="A20" s="4" t="s">
        <v>172</v>
      </c>
      <c r="B20" s="5" t="s">
        <v>173</v>
      </c>
      <c r="C20" s="4" t="s">
        <v>37</v>
      </c>
      <c r="D20" s="4" t="n">
        <v>147</v>
      </c>
      <c r="E20" s="9" t="s">
        <v>23</v>
      </c>
      <c r="F20" s="4"/>
      <c r="G20" s="4" t="s">
        <v>109</v>
      </c>
      <c r="H20" s="4" t="n">
        <v>2</v>
      </c>
      <c r="I20" s="5" t="s">
        <v>174</v>
      </c>
      <c r="J20" s="5"/>
      <c r="K20" s="5"/>
      <c r="L20" s="16" t="n">
        <v>1</v>
      </c>
    </row>
    <row r="21" customFormat="false" ht="23.85" hidden="false" customHeight="false" outlineLevel="0" collapsed="false">
      <c r="A21" s="4" t="s">
        <v>175</v>
      </c>
      <c r="B21" s="5" t="s">
        <v>176</v>
      </c>
      <c r="C21" s="4" t="s">
        <v>37</v>
      </c>
      <c r="D21" s="4" t="n">
        <v>110</v>
      </c>
      <c r="E21" s="9" t="s">
        <v>23</v>
      </c>
      <c r="F21" s="4"/>
      <c r="G21" s="4" t="s">
        <v>116</v>
      </c>
      <c r="H21" s="4" t="n">
        <v>0</v>
      </c>
      <c r="I21" s="5" t="s">
        <v>177</v>
      </c>
      <c r="J21" s="5"/>
      <c r="K21" s="5"/>
      <c r="L21" s="16" t="n">
        <v>1</v>
      </c>
    </row>
    <row r="22" customFormat="false" ht="15" hidden="false" customHeight="false" outlineLevel="0" collapsed="false">
      <c r="A22" s="4" t="s">
        <v>178</v>
      </c>
      <c r="B22" s="5" t="s">
        <v>179</v>
      </c>
      <c r="C22" s="4" t="s">
        <v>37</v>
      </c>
      <c r="D22" s="4" t="n">
        <v>210</v>
      </c>
      <c r="E22" s="9" t="s">
        <v>23</v>
      </c>
      <c r="F22" s="4"/>
      <c r="G22" s="4" t="s">
        <v>109</v>
      </c>
      <c r="H22" s="4" t="n">
        <v>2</v>
      </c>
      <c r="I22" s="5" t="s">
        <v>180</v>
      </c>
      <c r="J22" s="5"/>
      <c r="K22" s="5"/>
      <c r="L22" s="16" t="n">
        <v>0.83</v>
      </c>
    </row>
    <row r="23" customFormat="false" ht="15" hidden="false" customHeight="false" outlineLevel="0" collapsed="false">
      <c r="A23" s="4" t="s">
        <v>181</v>
      </c>
      <c r="B23" s="5" t="s">
        <v>182</v>
      </c>
      <c r="C23" s="4" t="s">
        <v>37</v>
      </c>
      <c r="D23" s="4" t="n">
        <v>127</v>
      </c>
      <c r="E23" s="9" t="s">
        <v>23</v>
      </c>
      <c r="F23" s="4"/>
      <c r="G23" s="4" t="s">
        <v>120</v>
      </c>
      <c r="H23" s="4" t="n">
        <v>1</v>
      </c>
      <c r="I23" s="5" t="s">
        <v>183</v>
      </c>
      <c r="J23" s="5"/>
      <c r="K23" s="5"/>
      <c r="L23" s="16" t="n">
        <v>1</v>
      </c>
    </row>
    <row r="24" customFormat="false" ht="15" hidden="false" customHeight="false" outlineLevel="0" collapsed="false">
      <c r="A24" s="4" t="s">
        <v>184</v>
      </c>
      <c r="B24" s="5" t="s">
        <v>185</v>
      </c>
      <c r="C24" s="4" t="s">
        <v>37</v>
      </c>
      <c r="D24" s="4" t="n">
        <v>117</v>
      </c>
      <c r="E24" s="9" t="s">
        <v>23</v>
      </c>
      <c r="F24" s="4"/>
      <c r="G24" s="4" t="s">
        <v>120</v>
      </c>
      <c r="H24" s="4" t="n">
        <v>1</v>
      </c>
      <c r="I24" s="5" t="s">
        <v>186</v>
      </c>
      <c r="J24" s="5"/>
      <c r="K24" s="5"/>
      <c r="L24" s="16" t="n">
        <v>1</v>
      </c>
    </row>
    <row r="25" customFormat="false" ht="15" hidden="false" customHeight="false" outlineLevel="0" collapsed="false">
      <c r="A25" s="4" t="s">
        <v>187</v>
      </c>
      <c r="B25" s="5" t="s">
        <v>188</v>
      </c>
      <c r="C25" s="4" t="s">
        <v>37</v>
      </c>
      <c r="D25" s="4" t="n">
        <v>113</v>
      </c>
      <c r="E25" s="9" t="s">
        <v>23</v>
      </c>
      <c r="F25" s="4"/>
      <c r="G25" s="4" t="s">
        <v>120</v>
      </c>
      <c r="H25" s="4" t="n">
        <v>0</v>
      </c>
      <c r="I25" s="5" t="s">
        <v>189</v>
      </c>
      <c r="J25" s="5"/>
      <c r="K25" s="5"/>
      <c r="L25" s="16" t="n">
        <v>0.33</v>
      </c>
    </row>
    <row r="26" customFormat="false" ht="79.85" hidden="false" customHeight="false" outlineLevel="0" collapsed="false">
      <c r="A26" s="4" t="s">
        <v>190</v>
      </c>
      <c r="B26" s="5" t="s">
        <v>191</v>
      </c>
      <c r="C26" s="4" t="s">
        <v>37</v>
      </c>
      <c r="D26" s="4" t="n">
        <v>74</v>
      </c>
      <c r="E26" s="17" t="s">
        <v>25</v>
      </c>
      <c r="F26" s="9" t="s">
        <v>127</v>
      </c>
      <c r="G26" s="4" t="s">
        <v>116</v>
      </c>
      <c r="H26" s="4" t="n">
        <v>0</v>
      </c>
      <c r="I26" s="5"/>
      <c r="J26" s="5" t="s">
        <v>192</v>
      </c>
      <c r="K26" s="5" t="s">
        <v>193</v>
      </c>
      <c r="L26" s="16" t="n">
        <v>0</v>
      </c>
    </row>
    <row r="27" customFormat="false" ht="91" hidden="false" customHeight="false" outlineLevel="0" collapsed="false">
      <c r="A27" s="4" t="s">
        <v>194</v>
      </c>
      <c r="B27" s="5" t="s">
        <v>195</v>
      </c>
      <c r="C27" s="4" t="s">
        <v>37</v>
      </c>
      <c r="D27" s="4" t="n">
        <v>481</v>
      </c>
      <c r="E27" s="11" t="s">
        <v>24</v>
      </c>
      <c r="F27" s="9" t="s">
        <v>127</v>
      </c>
      <c r="G27" s="4" t="s">
        <v>120</v>
      </c>
      <c r="H27" s="4" t="n">
        <v>2</v>
      </c>
      <c r="I27" s="5" t="s">
        <v>196</v>
      </c>
      <c r="J27" s="5" t="s">
        <v>197</v>
      </c>
      <c r="K27" s="5" t="s">
        <v>198</v>
      </c>
      <c r="L27" s="16" t="n">
        <v>0.75</v>
      </c>
    </row>
    <row r="28" customFormat="false" ht="68.65" hidden="false" customHeight="false" outlineLevel="0" collapsed="false">
      <c r="A28" s="4" t="s">
        <v>199</v>
      </c>
      <c r="B28" s="5" t="s">
        <v>200</v>
      </c>
      <c r="C28" s="4" t="s">
        <v>37</v>
      </c>
      <c r="D28" s="4" t="n">
        <v>105</v>
      </c>
      <c r="E28" s="11" t="s">
        <v>24</v>
      </c>
      <c r="F28" s="9" t="s">
        <v>127</v>
      </c>
      <c r="G28" s="4" t="s">
        <v>120</v>
      </c>
      <c r="H28" s="4" t="n">
        <v>0</v>
      </c>
      <c r="I28" s="5" t="s">
        <v>201</v>
      </c>
      <c r="J28" s="5" t="s">
        <v>202</v>
      </c>
      <c r="K28" s="5" t="s">
        <v>203</v>
      </c>
      <c r="L28" s="16" t="n">
        <v>1</v>
      </c>
    </row>
    <row r="29" customFormat="false" ht="23.85" hidden="false" customHeight="false" outlineLevel="0" collapsed="false">
      <c r="A29" s="4" t="s">
        <v>204</v>
      </c>
      <c r="B29" s="5" t="s">
        <v>205</v>
      </c>
      <c r="C29" s="4" t="s">
        <v>37</v>
      </c>
      <c r="D29" s="4" t="n">
        <v>315</v>
      </c>
      <c r="E29" s="9" t="s">
        <v>23</v>
      </c>
      <c r="F29" s="4"/>
      <c r="G29" s="4" t="s">
        <v>120</v>
      </c>
      <c r="H29" s="4" t="n">
        <v>0</v>
      </c>
      <c r="I29" s="5" t="s">
        <v>206</v>
      </c>
      <c r="J29" s="5"/>
      <c r="K29" s="5"/>
      <c r="L29" s="16" t="n">
        <v>1</v>
      </c>
    </row>
    <row r="30" customFormat="false" ht="23.85" hidden="false" customHeight="false" outlineLevel="0" collapsed="false">
      <c r="A30" s="4" t="s">
        <v>207</v>
      </c>
      <c r="B30" s="5" t="s">
        <v>208</v>
      </c>
      <c r="C30" s="4" t="s">
        <v>37</v>
      </c>
      <c r="D30" s="4" t="n">
        <v>488</v>
      </c>
      <c r="E30" s="9" t="s">
        <v>23</v>
      </c>
      <c r="F30" s="4"/>
      <c r="G30" s="4" t="s">
        <v>109</v>
      </c>
      <c r="H30" s="4" t="n">
        <v>4</v>
      </c>
      <c r="I30" s="5" t="s">
        <v>209</v>
      </c>
      <c r="J30" s="5"/>
      <c r="K30" s="5"/>
      <c r="L30" s="16" t="n">
        <v>1</v>
      </c>
    </row>
    <row r="31" customFormat="false" ht="15" hidden="false" customHeight="false" outlineLevel="0" collapsed="false">
      <c r="A31" s="4" t="s">
        <v>210</v>
      </c>
      <c r="B31" s="5" t="s">
        <v>211</v>
      </c>
      <c r="C31" s="4" t="s">
        <v>37</v>
      </c>
      <c r="D31" s="4" t="n">
        <v>754</v>
      </c>
      <c r="E31" s="9" t="s">
        <v>23</v>
      </c>
      <c r="F31" s="4"/>
      <c r="G31" s="4" t="s">
        <v>109</v>
      </c>
      <c r="H31" s="4" t="n">
        <v>2</v>
      </c>
      <c r="I31" s="5" t="s">
        <v>212</v>
      </c>
      <c r="J31" s="5"/>
      <c r="K31" s="5"/>
      <c r="L31" s="16" t="n">
        <v>0.59</v>
      </c>
    </row>
    <row r="32" customFormat="false" ht="23.85" hidden="false" customHeight="false" outlineLevel="0" collapsed="false">
      <c r="A32" s="4" t="s">
        <v>213</v>
      </c>
      <c r="B32" s="5" t="s">
        <v>214</v>
      </c>
      <c r="C32" s="4" t="s">
        <v>37</v>
      </c>
      <c r="D32" s="4" t="n">
        <v>146</v>
      </c>
      <c r="E32" s="9" t="s">
        <v>23</v>
      </c>
      <c r="F32" s="4"/>
      <c r="G32" s="4" t="s">
        <v>116</v>
      </c>
      <c r="H32" s="4" t="n">
        <v>0</v>
      </c>
      <c r="I32" s="5" t="s">
        <v>215</v>
      </c>
      <c r="J32" s="5"/>
      <c r="K32" s="5"/>
      <c r="L32" s="16" t="n">
        <v>1</v>
      </c>
    </row>
    <row r="33" customFormat="false" ht="15" hidden="false" customHeight="false" outlineLevel="0" collapsed="false">
      <c r="A33" s="4" t="s">
        <v>216</v>
      </c>
      <c r="B33" s="5" t="s">
        <v>217</v>
      </c>
      <c r="C33" s="4" t="s">
        <v>37</v>
      </c>
      <c r="D33" s="4" t="n">
        <v>123</v>
      </c>
      <c r="E33" s="9" t="s">
        <v>23</v>
      </c>
      <c r="F33" s="4"/>
      <c r="G33" s="4" t="s">
        <v>120</v>
      </c>
      <c r="H33" s="4" t="n">
        <v>0</v>
      </c>
      <c r="I33" s="5" t="s">
        <v>218</v>
      </c>
      <c r="J33" s="5"/>
      <c r="K33" s="5"/>
      <c r="L33" s="16" t="n">
        <v>1</v>
      </c>
    </row>
    <row r="34" customFormat="false" ht="57.45" hidden="false" customHeight="false" outlineLevel="0" collapsed="false">
      <c r="A34" s="4" t="s">
        <v>219</v>
      </c>
      <c r="B34" s="5" t="s">
        <v>220</v>
      </c>
      <c r="C34" s="4" t="s">
        <v>37</v>
      </c>
      <c r="D34" s="4" t="n">
        <v>314</v>
      </c>
      <c r="E34" s="11" t="s">
        <v>24</v>
      </c>
      <c r="F34" s="9" t="s">
        <v>127</v>
      </c>
      <c r="G34" s="4" t="s">
        <v>120</v>
      </c>
      <c r="H34" s="4" t="n">
        <v>1</v>
      </c>
      <c r="I34" s="5" t="s">
        <v>221</v>
      </c>
      <c r="J34" s="5" t="s">
        <v>222</v>
      </c>
      <c r="K34" s="5" t="s">
        <v>223</v>
      </c>
      <c r="L34" s="16" t="n">
        <v>1</v>
      </c>
    </row>
    <row r="35" customFormat="false" ht="68.65" hidden="false" customHeight="false" outlineLevel="0" collapsed="false">
      <c r="A35" s="4" t="s">
        <v>224</v>
      </c>
      <c r="B35" s="5" t="s">
        <v>225</v>
      </c>
      <c r="C35" s="4" t="s">
        <v>37</v>
      </c>
      <c r="D35" s="4" t="n">
        <v>191</v>
      </c>
      <c r="E35" s="11" t="s">
        <v>24</v>
      </c>
      <c r="F35" s="9" t="s">
        <v>127</v>
      </c>
      <c r="G35" s="4" t="s">
        <v>120</v>
      </c>
      <c r="H35" s="4" t="n">
        <v>0</v>
      </c>
      <c r="I35" s="5" t="s">
        <v>215</v>
      </c>
      <c r="J35" s="5" t="s">
        <v>226</v>
      </c>
      <c r="K35" s="5" t="s">
        <v>227</v>
      </c>
      <c r="L35" s="16" t="n">
        <v>0.67</v>
      </c>
    </row>
    <row r="36" customFormat="false" ht="23.85" hidden="false" customHeight="false" outlineLevel="0" collapsed="false">
      <c r="A36" s="4" t="s">
        <v>228</v>
      </c>
      <c r="B36" s="5" t="s">
        <v>229</v>
      </c>
      <c r="C36" s="4" t="s">
        <v>37</v>
      </c>
      <c r="D36" s="4" t="n">
        <v>221</v>
      </c>
      <c r="E36" s="9" t="s">
        <v>23</v>
      </c>
      <c r="F36" s="4"/>
      <c r="G36" s="4" t="s">
        <v>120</v>
      </c>
      <c r="H36" s="4" t="n">
        <v>0</v>
      </c>
      <c r="I36" s="5" t="s">
        <v>230</v>
      </c>
      <c r="J36" s="5"/>
      <c r="K36" s="5"/>
      <c r="L36" s="16" t="n">
        <v>0.67</v>
      </c>
    </row>
    <row r="37" customFormat="false" ht="113.4" hidden="false" customHeight="false" outlineLevel="0" collapsed="false">
      <c r="A37" s="4" t="s">
        <v>231</v>
      </c>
      <c r="B37" s="5" t="s">
        <v>232</v>
      </c>
      <c r="C37" s="4" t="s">
        <v>37</v>
      </c>
      <c r="D37" s="4" t="n">
        <v>2063</v>
      </c>
      <c r="E37" s="11" t="s">
        <v>24</v>
      </c>
      <c r="F37" s="9" t="s">
        <v>127</v>
      </c>
      <c r="G37" s="4" t="s">
        <v>109</v>
      </c>
      <c r="H37" s="4" t="n">
        <v>2</v>
      </c>
      <c r="I37" s="5" t="s">
        <v>233</v>
      </c>
      <c r="J37" s="5" t="s">
        <v>234</v>
      </c>
      <c r="K37" s="5" t="s">
        <v>235</v>
      </c>
      <c r="L37" s="16" t="n">
        <v>0.79</v>
      </c>
    </row>
    <row r="38" customFormat="false" ht="23.85" hidden="false" customHeight="false" outlineLevel="0" collapsed="false">
      <c r="A38" s="4" t="s">
        <v>236</v>
      </c>
      <c r="B38" s="5" t="s">
        <v>237</v>
      </c>
      <c r="C38" s="4" t="s">
        <v>42</v>
      </c>
      <c r="D38" s="4" t="n">
        <v>204</v>
      </c>
      <c r="E38" s="9" t="s">
        <v>23</v>
      </c>
      <c r="F38" s="4"/>
      <c r="G38" s="4" t="s">
        <v>109</v>
      </c>
      <c r="H38" s="4" t="n">
        <v>1</v>
      </c>
      <c r="I38" s="5" t="s">
        <v>238</v>
      </c>
      <c r="J38" s="5"/>
      <c r="K38" s="5"/>
      <c r="L38" s="16" t="n">
        <v>1</v>
      </c>
    </row>
    <row r="39" customFormat="false" ht="23.85" hidden="false" customHeight="false" outlineLevel="0" collapsed="false">
      <c r="A39" s="4" t="s">
        <v>239</v>
      </c>
      <c r="B39" s="5" t="s">
        <v>240</v>
      </c>
      <c r="C39" s="4" t="s">
        <v>42</v>
      </c>
      <c r="D39" s="4" t="n">
        <v>287</v>
      </c>
      <c r="E39" s="9" t="s">
        <v>23</v>
      </c>
      <c r="F39" s="4"/>
      <c r="G39" s="4" t="s">
        <v>109</v>
      </c>
      <c r="H39" s="4" t="n">
        <v>1</v>
      </c>
      <c r="I39" s="5" t="s">
        <v>241</v>
      </c>
      <c r="J39" s="5"/>
      <c r="K39" s="5"/>
      <c r="L39" s="16" t="n">
        <v>1</v>
      </c>
    </row>
    <row r="40" customFormat="false" ht="23.85" hidden="false" customHeight="false" outlineLevel="0" collapsed="false">
      <c r="A40" s="4" t="s">
        <v>242</v>
      </c>
      <c r="B40" s="5" t="s">
        <v>243</v>
      </c>
      <c r="C40" s="4" t="s">
        <v>42</v>
      </c>
      <c r="D40" s="4" t="n">
        <v>1046</v>
      </c>
      <c r="E40" s="9" t="s">
        <v>23</v>
      </c>
      <c r="F40" s="4"/>
      <c r="G40" s="4" t="s">
        <v>109</v>
      </c>
      <c r="H40" s="4" t="n">
        <v>3</v>
      </c>
      <c r="I40" s="5" t="s">
        <v>244</v>
      </c>
      <c r="J40" s="5"/>
      <c r="K40" s="5"/>
      <c r="L40" s="16" t="n">
        <v>1</v>
      </c>
    </row>
    <row r="41" customFormat="false" ht="23.85" hidden="false" customHeight="false" outlineLevel="0" collapsed="false">
      <c r="A41" s="4" t="s">
        <v>245</v>
      </c>
      <c r="B41" s="5" t="s">
        <v>246</v>
      </c>
      <c r="C41" s="4" t="s">
        <v>42</v>
      </c>
      <c r="D41" s="4" t="n">
        <v>198</v>
      </c>
      <c r="E41" s="9" t="s">
        <v>23</v>
      </c>
      <c r="F41" s="4"/>
      <c r="G41" s="4" t="s">
        <v>109</v>
      </c>
      <c r="H41" s="4" t="n">
        <v>1</v>
      </c>
      <c r="I41" s="5" t="s">
        <v>247</v>
      </c>
      <c r="J41" s="5"/>
      <c r="K41" s="5"/>
      <c r="L41" s="16" t="n">
        <v>1</v>
      </c>
    </row>
    <row r="42" customFormat="false" ht="79.85" hidden="false" customHeight="false" outlineLevel="0" collapsed="false">
      <c r="A42" s="4" t="s">
        <v>248</v>
      </c>
      <c r="B42" s="5" t="s">
        <v>249</v>
      </c>
      <c r="C42" s="4" t="s">
        <v>42</v>
      </c>
      <c r="D42" s="4" t="n">
        <v>338</v>
      </c>
      <c r="E42" s="11" t="s">
        <v>24</v>
      </c>
      <c r="F42" s="9" t="s">
        <v>127</v>
      </c>
      <c r="G42" s="4" t="s">
        <v>109</v>
      </c>
      <c r="H42" s="4" t="n">
        <v>3</v>
      </c>
      <c r="I42" s="5" t="s">
        <v>250</v>
      </c>
      <c r="J42" s="5" t="s">
        <v>251</v>
      </c>
      <c r="K42" s="5" t="s">
        <v>252</v>
      </c>
      <c r="L42" s="16" t="n">
        <v>1</v>
      </c>
    </row>
    <row r="43" customFormat="false" ht="23.85" hidden="false" customHeight="false" outlineLevel="0" collapsed="false">
      <c r="A43" s="4" t="s">
        <v>253</v>
      </c>
      <c r="B43" s="5" t="s">
        <v>254</v>
      </c>
      <c r="C43" s="4" t="s">
        <v>42</v>
      </c>
      <c r="D43" s="4" t="n">
        <v>253</v>
      </c>
      <c r="E43" s="9" t="s">
        <v>23</v>
      </c>
      <c r="F43" s="4"/>
      <c r="G43" s="4" t="s">
        <v>109</v>
      </c>
      <c r="H43" s="4" t="n">
        <v>0</v>
      </c>
      <c r="I43" s="5" t="s">
        <v>255</v>
      </c>
      <c r="J43" s="5"/>
      <c r="K43" s="5"/>
      <c r="L43" s="16" t="n">
        <v>1</v>
      </c>
    </row>
    <row r="44" customFormat="false" ht="23.85" hidden="false" customHeight="false" outlineLevel="0" collapsed="false">
      <c r="A44" s="4" t="s">
        <v>256</v>
      </c>
      <c r="B44" s="5" t="s">
        <v>257</v>
      </c>
      <c r="C44" s="4" t="s">
        <v>42</v>
      </c>
      <c r="D44" s="4" t="n">
        <v>264</v>
      </c>
      <c r="E44" s="9" t="s">
        <v>23</v>
      </c>
      <c r="F44" s="4"/>
      <c r="G44" s="4" t="s">
        <v>109</v>
      </c>
      <c r="H44" s="4" t="n">
        <v>3</v>
      </c>
      <c r="I44" s="5" t="s">
        <v>258</v>
      </c>
      <c r="J44" s="5"/>
      <c r="K44" s="5"/>
      <c r="L44" s="16" t="n">
        <v>1</v>
      </c>
    </row>
    <row r="45" customFormat="false" ht="23.85" hidden="false" customHeight="false" outlineLevel="0" collapsed="false">
      <c r="A45" s="4" t="s">
        <v>259</v>
      </c>
      <c r="B45" s="5" t="s">
        <v>260</v>
      </c>
      <c r="C45" s="4" t="s">
        <v>42</v>
      </c>
      <c r="D45" s="4" t="n">
        <v>529</v>
      </c>
      <c r="E45" s="9" t="s">
        <v>23</v>
      </c>
      <c r="F45" s="4"/>
      <c r="G45" s="4" t="s">
        <v>109</v>
      </c>
      <c r="H45" s="4" t="n">
        <v>3</v>
      </c>
      <c r="I45" s="5" t="s">
        <v>261</v>
      </c>
      <c r="J45" s="5"/>
      <c r="K45" s="5"/>
      <c r="L45" s="16" t="n">
        <v>1</v>
      </c>
    </row>
    <row r="46" customFormat="false" ht="35.05" hidden="false" customHeight="false" outlineLevel="0" collapsed="false">
      <c r="A46" s="4" t="s">
        <v>262</v>
      </c>
      <c r="B46" s="5" t="s">
        <v>263</v>
      </c>
      <c r="C46" s="4" t="s">
        <v>42</v>
      </c>
      <c r="D46" s="4" t="n">
        <v>8</v>
      </c>
      <c r="E46" s="15" t="s">
        <v>264</v>
      </c>
      <c r="F46" s="4"/>
      <c r="G46" s="4" t="s">
        <v>116</v>
      </c>
      <c r="H46" s="4" t="n">
        <v>0</v>
      </c>
      <c r="I46" s="5" t="s">
        <v>133</v>
      </c>
      <c r="J46" s="5" t="s">
        <v>265</v>
      </c>
      <c r="K46" s="5"/>
      <c r="L46" s="16" t="n">
        <v>1</v>
      </c>
    </row>
    <row r="47" customFormat="false" ht="15" hidden="false" customHeight="false" outlineLevel="0" collapsed="false">
      <c r="A47" s="4" t="s">
        <v>266</v>
      </c>
      <c r="B47" s="5" t="s">
        <v>267</v>
      </c>
      <c r="C47" s="4" t="s">
        <v>42</v>
      </c>
      <c r="D47" s="4" t="n">
        <v>246</v>
      </c>
      <c r="E47" s="9" t="s">
        <v>23</v>
      </c>
      <c r="F47" s="4"/>
      <c r="G47" s="4" t="s">
        <v>120</v>
      </c>
      <c r="H47" s="4" t="n">
        <v>0</v>
      </c>
      <c r="I47" s="5" t="s">
        <v>268</v>
      </c>
      <c r="J47" s="5"/>
      <c r="K47" s="5"/>
      <c r="L47" s="16" t="n">
        <v>0</v>
      </c>
    </row>
    <row r="48" customFormat="false" ht="23.85" hidden="false" customHeight="false" outlineLevel="0" collapsed="false">
      <c r="A48" s="4" t="s">
        <v>269</v>
      </c>
      <c r="B48" s="5" t="s">
        <v>270</v>
      </c>
      <c r="C48" s="4" t="s">
        <v>42</v>
      </c>
      <c r="D48" s="4" t="n">
        <v>251</v>
      </c>
      <c r="E48" s="9" t="s">
        <v>23</v>
      </c>
      <c r="F48" s="4"/>
      <c r="G48" s="4" t="s">
        <v>120</v>
      </c>
      <c r="H48" s="4" t="n">
        <v>1</v>
      </c>
      <c r="I48" s="5" t="s">
        <v>271</v>
      </c>
      <c r="J48" s="5"/>
      <c r="K48" s="5"/>
      <c r="L48" s="16" t="n">
        <v>1</v>
      </c>
    </row>
    <row r="49" customFormat="false" ht="15" hidden="false" customHeight="false" outlineLevel="0" collapsed="false">
      <c r="A49" s="4" t="s">
        <v>272</v>
      </c>
      <c r="B49" s="5" t="s">
        <v>273</v>
      </c>
      <c r="C49" s="4" t="s">
        <v>42</v>
      </c>
      <c r="D49" s="4" t="n">
        <v>468</v>
      </c>
      <c r="E49" s="9" t="s">
        <v>23</v>
      </c>
      <c r="F49" s="4"/>
      <c r="G49" s="4" t="s">
        <v>120</v>
      </c>
      <c r="H49" s="4" t="n">
        <v>1</v>
      </c>
      <c r="I49" s="5" t="s">
        <v>274</v>
      </c>
      <c r="J49" s="5"/>
      <c r="K49" s="5"/>
      <c r="L49" s="16" t="n">
        <v>1</v>
      </c>
    </row>
    <row r="50" customFormat="false" ht="158.2" hidden="false" customHeight="false" outlineLevel="0" collapsed="false">
      <c r="A50" s="4" t="s">
        <v>275</v>
      </c>
      <c r="B50" s="5" t="s">
        <v>276</v>
      </c>
      <c r="C50" s="4" t="s">
        <v>42</v>
      </c>
      <c r="D50" s="4" t="n">
        <v>6777</v>
      </c>
      <c r="E50" s="11" t="s">
        <v>24</v>
      </c>
      <c r="F50" s="9" t="s">
        <v>127</v>
      </c>
      <c r="G50" s="4" t="s">
        <v>109</v>
      </c>
      <c r="H50" s="4" t="n">
        <v>10</v>
      </c>
      <c r="I50" s="5" t="s">
        <v>277</v>
      </c>
      <c r="J50" s="5" t="s">
        <v>278</v>
      </c>
      <c r="K50" s="5" t="s">
        <v>279</v>
      </c>
      <c r="L50" s="16" t="n">
        <v>0.66</v>
      </c>
    </row>
    <row r="51" customFormat="false" ht="15" hidden="false" customHeight="false" outlineLevel="0" collapsed="false">
      <c r="A51" s="4" t="s">
        <v>280</v>
      </c>
      <c r="B51" s="5" t="s">
        <v>281</v>
      </c>
      <c r="C51" s="4" t="s">
        <v>46</v>
      </c>
      <c r="D51" s="4" t="n">
        <v>531</v>
      </c>
      <c r="E51" s="9" t="s">
        <v>23</v>
      </c>
      <c r="F51" s="4"/>
      <c r="G51" s="4" t="s">
        <v>120</v>
      </c>
      <c r="H51" s="4" t="n">
        <v>0</v>
      </c>
      <c r="I51" s="5" t="s">
        <v>282</v>
      </c>
      <c r="J51" s="5"/>
      <c r="K51" s="5"/>
      <c r="L51" s="16" t="n">
        <v>1</v>
      </c>
    </row>
    <row r="52" customFormat="false" ht="23.85" hidden="false" customHeight="false" outlineLevel="0" collapsed="false">
      <c r="A52" s="4" t="s">
        <v>283</v>
      </c>
      <c r="B52" s="5" t="s">
        <v>284</v>
      </c>
      <c r="C52" s="4" t="s">
        <v>46</v>
      </c>
      <c r="D52" s="4" t="n">
        <v>436</v>
      </c>
      <c r="E52" s="9" t="s">
        <v>23</v>
      </c>
      <c r="F52" s="4"/>
      <c r="G52" s="4" t="s">
        <v>109</v>
      </c>
      <c r="H52" s="4" t="n">
        <v>2</v>
      </c>
      <c r="I52" s="5" t="s">
        <v>285</v>
      </c>
      <c r="J52" s="5"/>
      <c r="K52" s="5"/>
      <c r="L52" s="16" t="n">
        <v>1</v>
      </c>
    </row>
    <row r="53" customFormat="false" ht="15" hidden="false" customHeight="false" outlineLevel="0" collapsed="false">
      <c r="A53" s="4" t="s">
        <v>286</v>
      </c>
      <c r="B53" s="5" t="s">
        <v>287</v>
      </c>
      <c r="C53" s="4" t="s">
        <v>46</v>
      </c>
      <c r="D53" s="4" t="n">
        <v>520</v>
      </c>
      <c r="E53" s="9" t="s">
        <v>23</v>
      </c>
      <c r="F53" s="4"/>
      <c r="G53" s="4" t="s">
        <v>120</v>
      </c>
      <c r="H53" s="4" t="n">
        <v>0</v>
      </c>
      <c r="I53" s="5" t="s">
        <v>288</v>
      </c>
      <c r="J53" s="5"/>
      <c r="K53" s="5"/>
      <c r="L53" s="16" t="n">
        <v>0.93</v>
      </c>
    </row>
    <row r="54" customFormat="false" ht="23.85" hidden="false" customHeight="false" outlineLevel="0" collapsed="false">
      <c r="A54" s="4" t="s">
        <v>289</v>
      </c>
      <c r="B54" s="5" t="s">
        <v>290</v>
      </c>
      <c r="C54" s="4" t="s">
        <v>46</v>
      </c>
      <c r="D54" s="4" t="n">
        <v>383</v>
      </c>
      <c r="E54" s="9" t="s">
        <v>23</v>
      </c>
      <c r="F54" s="4"/>
      <c r="G54" s="4" t="s">
        <v>109</v>
      </c>
      <c r="H54" s="4" t="n">
        <v>2</v>
      </c>
      <c r="I54" s="5" t="s">
        <v>291</v>
      </c>
      <c r="J54" s="5"/>
      <c r="K54" s="5"/>
      <c r="L54" s="16" t="n">
        <v>1</v>
      </c>
    </row>
    <row r="55" customFormat="false" ht="57.45" hidden="false" customHeight="false" outlineLevel="0" collapsed="false">
      <c r="A55" s="4" t="s">
        <v>292</v>
      </c>
      <c r="B55" s="5" t="s">
        <v>293</v>
      </c>
      <c r="C55" s="4" t="s">
        <v>46</v>
      </c>
      <c r="D55" s="4" t="n">
        <v>172</v>
      </c>
      <c r="E55" s="11" t="s">
        <v>24</v>
      </c>
      <c r="F55" s="9" t="s">
        <v>127</v>
      </c>
      <c r="G55" s="4" t="s">
        <v>109</v>
      </c>
      <c r="H55" s="4" t="n">
        <v>2</v>
      </c>
      <c r="I55" s="5" t="s">
        <v>294</v>
      </c>
      <c r="J55" s="5" t="s">
        <v>295</v>
      </c>
      <c r="K55" s="5" t="s">
        <v>296</v>
      </c>
      <c r="L55" s="16" t="n">
        <v>1</v>
      </c>
    </row>
    <row r="56" customFormat="false" ht="23.85" hidden="false" customHeight="false" outlineLevel="0" collapsed="false">
      <c r="A56" s="4" t="s">
        <v>297</v>
      </c>
      <c r="B56" s="5" t="s">
        <v>298</v>
      </c>
      <c r="C56" s="4" t="s">
        <v>46</v>
      </c>
      <c r="D56" s="4" t="n">
        <v>649</v>
      </c>
      <c r="E56" s="9" t="s">
        <v>23</v>
      </c>
      <c r="F56" s="4"/>
      <c r="G56" s="4" t="s">
        <v>109</v>
      </c>
      <c r="H56" s="4" t="n">
        <v>2</v>
      </c>
      <c r="I56" s="5" t="s">
        <v>299</v>
      </c>
      <c r="J56" s="5"/>
      <c r="K56" s="5"/>
      <c r="L56" s="16" t="n">
        <v>1</v>
      </c>
    </row>
    <row r="57" customFormat="false" ht="91" hidden="false" customHeight="false" outlineLevel="0" collapsed="false">
      <c r="A57" s="4" t="s">
        <v>300</v>
      </c>
      <c r="B57" s="5" t="s">
        <v>301</v>
      </c>
      <c r="C57" s="4" t="s">
        <v>46</v>
      </c>
      <c r="D57" s="4" t="n">
        <v>3558</v>
      </c>
      <c r="E57" s="11" t="s">
        <v>24</v>
      </c>
      <c r="F57" s="9" t="s">
        <v>127</v>
      </c>
      <c r="G57" s="4" t="s">
        <v>109</v>
      </c>
      <c r="H57" s="4" t="n">
        <v>8</v>
      </c>
      <c r="I57" s="5" t="s">
        <v>302</v>
      </c>
      <c r="J57" s="5" t="s">
        <v>303</v>
      </c>
      <c r="K57" s="5" t="s">
        <v>304</v>
      </c>
      <c r="L57" s="16" t="n">
        <v>0.73</v>
      </c>
    </row>
    <row r="58" customFormat="false" ht="46.25" hidden="false" customHeight="false" outlineLevel="0" collapsed="false">
      <c r="A58" s="4" t="s">
        <v>305</v>
      </c>
      <c r="B58" s="5" t="s">
        <v>306</v>
      </c>
      <c r="C58" s="4" t="s">
        <v>46</v>
      </c>
      <c r="D58" s="4" t="n">
        <v>1147</v>
      </c>
      <c r="E58" s="9" t="s">
        <v>23</v>
      </c>
      <c r="F58" s="4"/>
      <c r="G58" s="4" t="s">
        <v>109</v>
      </c>
      <c r="H58" s="4" t="n">
        <v>4</v>
      </c>
      <c r="I58" s="5" t="s">
        <v>307</v>
      </c>
      <c r="J58" s="5"/>
      <c r="K58" s="5"/>
      <c r="L58" s="16" t="n">
        <v>1</v>
      </c>
    </row>
    <row r="59" customFormat="false" ht="102.2" hidden="false" customHeight="false" outlineLevel="0" collapsed="false">
      <c r="A59" s="4" t="s">
        <v>308</v>
      </c>
      <c r="B59" s="5" t="s">
        <v>309</v>
      </c>
      <c r="C59" s="4" t="s">
        <v>46</v>
      </c>
      <c r="D59" s="4" t="n">
        <v>728</v>
      </c>
      <c r="E59" s="11" t="s">
        <v>24</v>
      </c>
      <c r="F59" s="9" t="s">
        <v>127</v>
      </c>
      <c r="G59" s="4" t="s">
        <v>109</v>
      </c>
      <c r="H59" s="4" t="n">
        <v>4</v>
      </c>
      <c r="I59" s="5" t="s">
        <v>310</v>
      </c>
      <c r="J59" s="5" t="s">
        <v>311</v>
      </c>
      <c r="K59" s="5" t="s">
        <v>312</v>
      </c>
      <c r="L59" s="16" t="n">
        <v>1</v>
      </c>
    </row>
    <row r="60" customFormat="false" ht="91" hidden="false" customHeight="false" outlineLevel="0" collapsed="false">
      <c r="A60" s="4" t="s">
        <v>313</v>
      </c>
      <c r="B60" s="5" t="s">
        <v>314</v>
      </c>
      <c r="C60" s="4" t="s">
        <v>46</v>
      </c>
      <c r="D60" s="4" t="n">
        <v>1114</v>
      </c>
      <c r="E60" s="11" t="s">
        <v>24</v>
      </c>
      <c r="F60" s="9" t="s">
        <v>127</v>
      </c>
      <c r="G60" s="4" t="s">
        <v>109</v>
      </c>
      <c r="H60" s="4" t="n">
        <v>2</v>
      </c>
      <c r="I60" s="5" t="s">
        <v>315</v>
      </c>
      <c r="J60" s="5" t="s">
        <v>316</v>
      </c>
      <c r="K60" s="5" t="s">
        <v>317</v>
      </c>
      <c r="L60" s="16" t="n">
        <v>0.91</v>
      </c>
    </row>
    <row r="61" customFormat="false" ht="91" hidden="false" customHeight="false" outlineLevel="0" collapsed="false">
      <c r="A61" s="4" t="s">
        <v>318</v>
      </c>
      <c r="B61" s="5" t="s">
        <v>319</v>
      </c>
      <c r="C61" s="4" t="s">
        <v>46</v>
      </c>
      <c r="D61" s="4" t="n">
        <v>446</v>
      </c>
      <c r="E61" s="11" t="s">
        <v>24</v>
      </c>
      <c r="F61" s="9" t="s">
        <v>127</v>
      </c>
      <c r="G61" s="4" t="s">
        <v>109</v>
      </c>
      <c r="H61" s="4" t="n">
        <v>2</v>
      </c>
      <c r="I61" s="5" t="s">
        <v>320</v>
      </c>
      <c r="J61" s="5" t="s">
        <v>321</v>
      </c>
      <c r="K61" s="5" t="s">
        <v>322</v>
      </c>
      <c r="L61" s="16" t="n">
        <v>1</v>
      </c>
    </row>
    <row r="62" customFormat="false" ht="57.45" hidden="false" customHeight="false" outlineLevel="0" collapsed="false">
      <c r="A62" s="4" t="s">
        <v>323</v>
      </c>
      <c r="B62" s="5" t="s">
        <v>324</v>
      </c>
      <c r="C62" s="4" t="s">
        <v>46</v>
      </c>
      <c r="D62" s="4" t="n">
        <v>50</v>
      </c>
      <c r="E62" s="15" t="s">
        <v>264</v>
      </c>
      <c r="F62" s="4"/>
      <c r="G62" s="4" t="s">
        <v>116</v>
      </c>
      <c r="H62" s="4" t="n">
        <v>0</v>
      </c>
      <c r="I62" s="5" t="s">
        <v>325</v>
      </c>
      <c r="J62" s="5" t="s">
        <v>326</v>
      </c>
      <c r="K62" s="5"/>
      <c r="L62" s="16" t="n">
        <v>1</v>
      </c>
    </row>
    <row r="63" customFormat="false" ht="46.25" hidden="false" customHeight="false" outlineLevel="0" collapsed="false">
      <c r="A63" s="4" t="s">
        <v>327</v>
      </c>
      <c r="B63" s="5" t="s">
        <v>328</v>
      </c>
      <c r="C63" s="4" t="s">
        <v>46</v>
      </c>
      <c r="D63" s="4" t="n">
        <v>121</v>
      </c>
      <c r="E63" s="11" t="s">
        <v>24</v>
      </c>
      <c r="F63" s="9" t="s">
        <v>127</v>
      </c>
      <c r="G63" s="4" t="s">
        <v>116</v>
      </c>
      <c r="H63" s="4" t="n">
        <v>0</v>
      </c>
      <c r="I63" s="5" t="s">
        <v>329</v>
      </c>
      <c r="J63" s="5" t="s">
        <v>330</v>
      </c>
      <c r="K63" s="5" t="s">
        <v>331</v>
      </c>
      <c r="L63" s="16" t="n">
        <v>1</v>
      </c>
    </row>
    <row r="64" customFormat="false" ht="15" hidden="false" customHeight="false" outlineLevel="0" collapsed="false">
      <c r="A64" s="4" t="s">
        <v>332</v>
      </c>
      <c r="B64" s="5" t="s">
        <v>333</v>
      </c>
      <c r="C64" s="4" t="s">
        <v>46</v>
      </c>
      <c r="D64" s="4" t="n">
        <v>95</v>
      </c>
      <c r="E64" s="9" t="s">
        <v>23</v>
      </c>
      <c r="F64" s="4"/>
      <c r="G64" s="4" t="s">
        <v>120</v>
      </c>
      <c r="H64" s="4" t="n">
        <v>0</v>
      </c>
      <c r="I64" s="5" t="s">
        <v>334</v>
      </c>
      <c r="J64" s="5"/>
      <c r="K64" s="5"/>
      <c r="L64" s="16" t="n">
        <v>1</v>
      </c>
    </row>
    <row r="65" customFormat="false" ht="23.85" hidden="false" customHeight="false" outlineLevel="0" collapsed="false">
      <c r="A65" s="4" t="s">
        <v>335</v>
      </c>
      <c r="B65" s="5" t="s">
        <v>336</v>
      </c>
      <c r="C65" s="4" t="s">
        <v>46</v>
      </c>
      <c r="D65" s="4" t="n">
        <v>112</v>
      </c>
      <c r="E65" s="9" t="s">
        <v>23</v>
      </c>
      <c r="F65" s="4"/>
      <c r="G65" s="4" t="s">
        <v>120</v>
      </c>
      <c r="H65" s="4" t="n">
        <v>0</v>
      </c>
      <c r="I65" s="5" t="s">
        <v>337</v>
      </c>
      <c r="J65" s="5"/>
      <c r="K65" s="5"/>
      <c r="L65" s="16" t="n">
        <v>1</v>
      </c>
    </row>
    <row r="66" customFormat="false" ht="23.85" hidden="false" customHeight="false" outlineLevel="0" collapsed="false">
      <c r="A66" s="4" t="s">
        <v>338</v>
      </c>
      <c r="B66" s="5" t="s">
        <v>339</v>
      </c>
      <c r="C66" s="4" t="s">
        <v>46</v>
      </c>
      <c r="D66" s="4" t="n">
        <v>94</v>
      </c>
      <c r="E66" s="9" t="s">
        <v>23</v>
      </c>
      <c r="F66" s="4"/>
      <c r="G66" s="4" t="s">
        <v>120</v>
      </c>
      <c r="H66" s="4" t="n">
        <v>0</v>
      </c>
      <c r="I66" s="5" t="s">
        <v>340</v>
      </c>
      <c r="J66" s="5"/>
      <c r="K66" s="5"/>
      <c r="L66" s="16" t="n">
        <v>1</v>
      </c>
    </row>
    <row r="67" customFormat="false" ht="23.85" hidden="false" customHeight="false" outlineLevel="0" collapsed="false">
      <c r="A67" s="4" t="s">
        <v>341</v>
      </c>
      <c r="B67" s="5" t="s">
        <v>342</v>
      </c>
      <c r="C67" s="4" t="s">
        <v>46</v>
      </c>
      <c r="D67" s="4" t="n">
        <v>97</v>
      </c>
      <c r="E67" s="9" t="s">
        <v>23</v>
      </c>
      <c r="F67" s="4"/>
      <c r="G67" s="4" t="s">
        <v>120</v>
      </c>
      <c r="H67" s="4" t="n">
        <v>0</v>
      </c>
      <c r="I67" s="5" t="s">
        <v>343</v>
      </c>
      <c r="J67" s="5"/>
      <c r="K67" s="5"/>
      <c r="L67" s="16" t="n">
        <v>1</v>
      </c>
    </row>
    <row r="68" customFormat="false" ht="35.05" hidden="false" customHeight="false" outlineLevel="0" collapsed="false">
      <c r="A68" s="4" t="s">
        <v>344</v>
      </c>
      <c r="B68" s="5" t="s">
        <v>345</v>
      </c>
      <c r="C68" s="4" t="s">
        <v>46</v>
      </c>
      <c r="D68" s="4" t="n">
        <v>123</v>
      </c>
      <c r="E68" s="9" t="s">
        <v>23</v>
      </c>
      <c r="F68" s="4"/>
      <c r="G68" s="4" t="s">
        <v>120</v>
      </c>
      <c r="H68" s="4" t="n">
        <v>1</v>
      </c>
      <c r="I68" s="5" t="s">
        <v>346</v>
      </c>
      <c r="J68" s="5"/>
      <c r="K68" s="5"/>
      <c r="L68" s="16" t="n">
        <v>1</v>
      </c>
    </row>
    <row r="69" customFormat="false" ht="68.65" hidden="false" customHeight="false" outlineLevel="0" collapsed="false">
      <c r="A69" s="4" t="s">
        <v>347</v>
      </c>
      <c r="B69" s="5" t="s">
        <v>348</v>
      </c>
      <c r="C69" s="4" t="s">
        <v>46</v>
      </c>
      <c r="D69" s="4" t="n">
        <v>119</v>
      </c>
      <c r="E69" s="11" t="s">
        <v>24</v>
      </c>
      <c r="F69" s="9" t="s">
        <v>127</v>
      </c>
      <c r="G69" s="4" t="s">
        <v>120</v>
      </c>
      <c r="H69" s="4" t="n">
        <v>0</v>
      </c>
      <c r="I69" s="5" t="s">
        <v>349</v>
      </c>
      <c r="J69" s="5" t="s">
        <v>350</v>
      </c>
      <c r="K69" s="5" t="s">
        <v>351</v>
      </c>
      <c r="L69" s="16" t="n">
        <v>1</v>
      </c>
    </row>
    <row r="70" customFormat="false" ht="23.85" hidden="false" customHeight="false" outlineLevel="0" collapsed="false">
      <c r="A70" s="4" t="s">
        <v>352</v>
      </c>
      <c r="B70" s="5" t="s">
        <v>353</v>
      </c>
      <c r="C70" s="4" t="s">
        <v>46</v>
      </c>
      <c r="D70" s="4" t="n">
        <v>94</v>
      </c>
      <c r="E70" s="9" t="s">
        <v>23</v>
      </c>
      <c r="F70" s="4"/>
      <c r="G70" s="4" t="s">
        <v>116</v>
      </c>
      <c r="H70" s="4" t="n">
        <v>0</v>
      </c>
      <c r="I70" s="5" t="s">
        <v>354</v>
      </c>
      <c r="J70" s="5"/>
      <c r="K70" s="5"/>
      <c r="L70" s="16" t="n">
        <v>1</v>
      </c>
    </row>
    <row r="71" customFormat="false" ht="15" hidden="false" customHeight="false" outlineLevel="0" collapsed="false">
      <c r="A71" s="4" t="s">
        <v>355</v>
      </c>
      <c r="B71" s="5" t="s">
        <v>356</v>
      </c>
      <c r="C71" s="4" t="s">
        <v>46</v>
      </c>
      <c r="D71" s="4" t="n">
        <v>129</v>
      </c>
      <c r="E71" s="9" t="s">
        <v>23</v>
      </c>
      <c r="F71" s="4"/>
      <c r="G71" s="4" t="s">
        <v>116</v>
      </c>
      <c r="H71" s="4" t="n">
        <v>0</v>
      </c>
      <c r="I71" s="5" t="s">
        <v>357</v>
      </c>
      <c r="J71" s="5"/>
      <c r="K71" s="5"/>
      <c r="L71" s="16" t="n">
        <v>1</v>
      </c>
    </row>
    <row r="72" customFormat="false" ht="23.85" hidden="false" customHeight="false" outlineLevel="0" collapsed="false">
      <c r="A72" s="4" t="s">
        <v>358</v>
      </c>
      <c r="B72" s="5" t="s">
        <v>359</v>
      </c>
      <c r="C72" s="4" t="s">
        <v>46</v>
      </c>
      <c r="D72" s="4" t="n">
        <v>116</v>
      </c>
      <c r="E72" s="9" t="s">
        <v>23</v>
      </c>
      <c r="F72" s="4"/>
      <c r="G72" s="4" t="s">
        <v>116</v>
      </c>
      <c r="H72" s="4" t="n">
        <v>0</v>
      </c>
      <c r="I72" s="5" t="s">
        <v>360</v>
      </c>
      <c r="J72" s="5"/>
      <c r="K72" s="5"/>
      <c r="L72" s="16" t="n">
        <v>1</v>
      </c>
    </row>
    <row r="73" customFormat="false" ht="23.85" hidden="false" customHeight="false" outlineLevel="0" collapsed="false">
      <c r="A73" s="4" t="s">
        <v>361</v>
      </c>
      <c r="B73" s="5" t="s">
        <v>362</v>
      </c>
      <c r="C73" s="4" t="s">
        <v>46</v>
      </c>
      <c r="D73" s="4" t="n">
        <v>624</v>
      </c>
      <c r="E73" s="9" t="s">
        <v>23</v>
      </c>
      <c r="F73" s="4"/>
      <c r="G73" s="4" t="s">
        <v>120</v>
      </c>
      <c r="H73" s="4" t="n">
        <v>0</v>
      </c>
      <c r="I73" s="5" t="s">
        <v>363</v>
      </c>
      <c r="J73" s="5"/>
      <c r="K73" s="5"/>
      <c r="L73" s="16" t="n">
        <v>0.67</v>
      </c>
    </row>
    <row r="74" customFormat="false" ht="124.6" hidden="false" customHeight="false" outlineLevel="0" collapsed="false">
      <c r="A74" s="4" t="s">
        <v>364</v>
      </c>
      <c r="B74" s="5" t="s">
        <v>276</v>
      </c>
      <c r="C74" s="4" t="s">
        <v>46</v>
      </c>
      <c r="D74" s="4" t="n">
        <v>2496</v>
      </c>
      <c r="E74" s="11" t="s">
        <v>24</v>
      </c>
      <c r="F74" s="9" t="s">
        <v>127</v>
      </c>
      <c r="G74" s="4" t="s">
        <v>109</v>
      </c>
      <c r="H74" s="4" t="n">
        <v>5</v>
      </c>
      <c r="I74" s="5" t="s">
        <v>365</v>
      </c>
      <c r="J74" s="5" t="s">
        <v>366</v>
      </c>
      <c r="K74" s="5" t="s">
        <v>367</v>
      </c>
      <c r="L74" s="16" t="n">
        <v>0.47</v>
      </c>
    </row>
    <row r="75" customFormat="false" ht="35.05" hidden="false" customHeight="false" outlineLevel="0" collapsed="false">
      <c r="A75" s="4" t="s">
        <v>368</v>
      </c>
      <c r="B75" s="5" t="s">
        <v>369</v>
      </c>
      <c r="C75" s="4" t="s">
        <v>50</v>
      </c>
      <c r="D75" s="4" t="n">
        <v>902</v>
      </c>
      <c r="E75" s="9" t="s">
        <v>23</v>
      </c>
      <c r="F75" s="4"/>
      <c r="G75" s="4" t="s">
        <v>109</v>
      </c>
      <c r="H75" s="4" t="n">
        <v>4</v>
      </c>
      <c r="I75" s="5" t="s">
        <v>370</v>
      </c>
      <c r="J75" s="5"/>
      <c r="K75" s="5"/>
      <c r="L75" s="16" t="n">
        <v>1</v>
      </c>
    </row>
    <row r="76" customFormat="false" ht="23.85" hidden="false" customHeight="false" outlineLevel="0" collapsed="false">
      <c r="A76" s="4" t="s">
        <v>371</v>
      </c>
      <c r="B76" s="5" t="s">
        <v>372</v>
      </c>
      <c r="C76" s="4" t="s">
        <v>50</v>
      </c>
      <c r="D76" s="4" t="n">
        <v>347</v>
      </c>
      <c r="E76" s="9" t="s">
        <v>23</v>
      </c>
      <c r="F76" s="4"/>
      <c r="G76" s="4" t="s">
        <v>109</v>
      </c>
      <c r="H76" s="4" t="n">
        <v>1</v>
      </c>
      <c r="I76" s="5" t="s">
        <v>373</v>
      </c>
      <c r="J76" s="5"/>
      <c r="K76" s="5"/>
      <c r="L76" s="16" t="n">
        <v>1</v>
      </c>
    </row>
    <row r="77" customFormat="false" ht="57.45" hidden="false" customHeight="false" outlineLevel="0" collapsed="false">
      <c r="A77" s="4" t="s">
        <v>374</v>
      </c>
      <c r="B77" s="5" t="s">
        <v>375</v>
      </c>
      <c r="C77" s="4" t="s">
        <v>50</v>
      </c>
      <c r="D77" s="4" t="n">
        <v>2983</v>
      </c>
      <c r="E77" s="9" t="s">
        <v>23</v>
      </c>
      <c r="F77" s="4"/>
      <c r="G77" s="4" t="s">
        <v>109</v>
      </c>
      <c r="H77" s="4" t="n">
        <v>11</v>
      </c>
      <c r="I77" s="5" t="s">
        <v>376</v>
      </c>
      <c r="J77" s="5"/>
      <c r="K77" s="5"/>
      <c r="L77" s="16" t="n">
        <v>1</v>
      </c>
    </row>
    <row r="78" customFormat="false" ht="23.85" hidden="false" customHeight="false" outlineLevel="0" collapsed="false">
      <c r="A78" s="4" t="s">
        <v>377</v>
      </c>
      <c r="B78" s="5" t="s">
        <v>378</v>
      </c>
      <c r="C78" s="4" t="s">
        <v>50</v>
      </c>
      <c r="D78" s="4" t="n">
        <v>302</v>
      </c>
      <c r="E78" s="9" t="s">
        <v>23</v>
      </c>
      <c r="F78" s="4"/>
      <c r="G78" s="4" t="s">
        <v>109</v>
      </c>
      <c r="H78" s="4" t="n">
        <v>2</v>
      </c>
      <c r="I78" s="5" t="s">
        <v>379</v>
      </c>
      <c r="J78" s="5"/>
      <c r="K78" s="5"/>
      <c r="L78" s="16" t="n">
        <v>0.83</v>
      </c>
    </row>
    <row r="79" customFormat="false" ht="35.05" hidden="false" customHeight="false" outlineLevel="0" collapsed="false">
      <c r="A79" s="4" t="s">
        <v>380</v>
      </c>
      <c r="B79" s="5" t="s">
        <v>381</v>
      </c>
      <c r="C79" s="4" t="s">
        <v>50</v>
      </c>
      <c r="D79" s="4" t="n">
        <v>519</v>
      </c>
      <c r="E79" s="9" t="s">
        <v>23</v>
      </c>
      <c r="F79" s="4"/>
      <c r="G79" s="4" t="s">
        <v>109</v>
      </c>
      <c r="H79" s="4" t="n">
        <v>4</v>
      </c>
      <c r="I79" s="5" t="s">
        <v>382</v>
      </c>
      <c r="J79" s="5"/>
      <c r="K79" s="5"/>
      <c r="L79" s="16" t="n">
        <v>0.69</v>
      </c>
    </row>
    <row r="80" customFormat="false" ht="46.25" hidden="false" customHeight="false" outlineLevel="0" collapsed="false">
      <c r="A80" s="4" t="s">
        <v>383</v>
      </c>
      <c r="B80" s="5" t="s">
        <v>384</v>
      </c>
      <c r="C80" s="4" t="s">
        <v>50</v>
      </c>
      <c r="D80" s="4" t="n">
        <v>44</v>
      </c>
      <c r="E80" s="15" t="s">
        <v>264</v>
      </c>
      <c r="F80" s="4"/>
      <c r="G80" s="4" t="s">
        <v>116</v>
      </c>
      <c r="H80" s="4" t="n">
        <v>0</v>
      </c>
      <c r="I80" s="5" t="s">
        <v>215</v>
      </c>
      <c r="J80" s="5" t="s">
        <v>385</v>
      </c>
      <c r="K80" s="5"/>
      <c r="L80" s="16" t="n">
        <v>1</v>
      </c>
    </row>
    <row r="81" customFormat="false" ht="15" hidden="false" customHeight="false" outlineLevel="0" collapsed="false">
      <c r="A81" s="4" t="s">
        <v>386</v>
      </c>
      <c r="B81" s="5" t="s">
        <v>387</v>
      </c>
      <c r="C81" s="4" t="s">
        <v>50</v>
      </c>
      <c r="D81" s="4" t="n">
        <v>114</v>
      </c>
      <c r="E81" s="9" t="s">
        <v>23</v>
      </c>
      <c r="F81" s="4"/>
      <c r="G81" s="4" t="s">
        <v>120</v>
      </c>
      <c r="H81" s="4" t="n">
        <v>1</v>
      </c>
      <c r="I81" s="5" t="s">
        <v>388</v>
      </c>
      <c r="J81" s="5"/>
      <c r="K81" s="5"/>
      <c r="L81" s="16" t="n">
        <v>0</v>
      </c>
    </row>
    <row r="82" customFormat="false" ht="15" hidden="false" customHeight="false" outlineLevel="0" collapsed="false">
      <c r="A82" s="4" t="s">
        <v>389</v>
      </c>
      <c r="B82" s="5" t="s">
        <v>390</v>
      </c>
      <c r="C82" s="4" t="s">
        <v>50</v>
      </c>
      <c r="D82" s="4" t="n">
        <v>92</v>
      </c>
      <c r="E82" s="9" t="s">
        <v>23</v>
      </c>
      <c r="F82" s="4"/>
      <c r="G82" s="4" t="s">
        <v>120</v>
      </c>
      <c r="H82" s="4" t="n">
        <v>1</v>
      </c>
      <c r="I82" s="5" t="s">
        <v>391</v>
      </c>
      <c r="J82" s="5"/>
      <c r="K82" s="5"/>
      <c r="L82" s="16" t="n">
        <v>0</v>
      </c>
    </row>
    <row r="83" customFormat="false" ht="15" hidden="false" customHeight="false" outlineLevel="0" collapsed="false">
      <c r="A83" s="4" t="s">
        <v>392</v>
      </c>
      <c r="B83" s="5" t="s">
        <v>393</v>
      </c>
      <c r="C83" s="4" t="s">
        <v>50</v>
      </c>
      <c r="D83" s="4" t="n">
        <v>151</v>
      </c>
      <c r="E83" s="9" t="s">
        <v>23</v>
      </c>
      <c r="F83" s="4"/>
      <c r="G83" s="4" t="s">
        <v>120</v>
      </c>
      <c r="H83" s="4" t="n">
        <v>1</v>
      </c>
      <c r="I83" s="5" t="s">
        <v>394</v>
      </c>
      <c r="J83" s="5"/>
      <c r="K83" s="5"/>
      <c r="L83" s="16" t="n">
        <v>0</v>
      </c>
    </row>
    <row r="84" customFormat="false" ht="23.85" hidden="false" customHeight="false" outlineLevel="0" collapsed="false">
      <c r="A84" s="4" t="s">
        <v>395</v>
      </c>
      <c r="B84" s="5" t="s">
        <v>396</v>
      </c>
      <c r="C84" s="4" t="s">
        <v>50</v>
      </c>
      <c r="D84" s="4" t="n">
        <v>1277</v>
      </c>
      <c r="E84" s="9" t="s">
        <v>23</v>
      </c>
      <c r="F84" s="4"/>
      <c r="G84" s="4" t="s">
        <v>109</v>
      </c>
      <c r="H84" s="4" t="n">
        <v>2</v>
      </c>
      <c r="I84" s="5" t="s">
        <v>397</v>
      </c>
      <c r="J84" s="5"/>
      <c r="K84" s="5"/>
      <c r="L84" s="16" t="n">
        <v>0.67</v>
      </c>
    </row>
    <row r="85" customFormat="false" ht="113.4" hidden="false" customHeight="false" outlineLevel="0" collapsed="false">
      <c r="A85" s="4" t="s">
        <v>398</v>
      </c>
      <c r="B85" s="5" t="s">
        <v>276</v>
      </c>
      <c r="C85" s="4" t="s">
        <v>50</v>
      </c>
      <c r="D85" s="4" t="n">
        <v>2276</v>
      </c>
      <c r="E85" s="11" t="s">
        <v>24</v>
      </c>
      <c r="F85" s="9" t="s">
        <v>127</v>
      </c>
      <c r="G85" s="4" t="s">
        <v>109</v>
      </c>
      <c r="H85" s="4" t="n">
        <v>7</v>
      </c>
      <c r="I85" s="5" t="s">
        <v>399</v>
      </c>
      <c r="J85" s="5" t="s">
        <v>400</v>
      </c>
      <c r="K85" s="5" t="s">
        <v>401</v>
      </c>
      <c r="L85" s="16" t="n">
        <v>0.52</v>
      </c>
    </row>
    <row r="86" customFormat="false" ht="23.85" hidden="false" customHeight="false" outlineLevel="0" collapsed="false">
      <c r="A86" s="4" t="s">
        <v>402</v>
      </c>
      <c r="B86" s="5" t="s">
        <v>403</v>
      </c>
      <c r="C86" s="4" t="s">
        <v>55</v>
      </c>
      <c r="D86" s="4" t="n">
        <v>640</v>
      </c>
      <c r="E86" s="9" t="s">
        <v>23</v>
      </c>
      <c r="F86" s="4"/>
      <c r="G86" s="4" t="s">
        <v>109</v>
      </c>
      <c r="H86" s="4" t="n">
        <v>3</v>
      </c>
      <c r="I86" s="5" t="s">
        <v>404</v>
      </c>
      <c r="J86" s="5"/>
      <c r="K86" s="5"/>
      <c r="L86" s="16" t="n">
        <v>1</v>
      </c>
    </row>
    <row r="87" customFormat="false" ht="35.05" hidden="false" customHeight="false" outlineLevel="0" collapsed="false">
      <c r="A87" s="4" t="s">
        <v>405</v>
      </c>
      <c r="B87" s="5" t="s">
        <v>406</v>
      </c>
      <c r="C87" s="4" t="s">
        <v>55</v>
      </c>
      <c r="D87" s="4" t="n">
        <v>479</v>
      </c>
      <c r="E87" s="9" t="s">
        <v>23</v>
      </c>
      <c r="F87" s="4"/>
      <c r="G87" s="4" t="s">
        <v>109</v>
      </c>
      <c r="H87" s="4" t="n">
        <v>5</v>
      </c>
      <c r="I87" s="5" t="s">
        <v>407</v>
      </c>
      <c r="J87" s="5"/>
      <c r="K87" s="5"/>
      <c r="L87" s="16" t="n">
        <v>1</v>
      </c>
    </row>
    <row r="88" customFormat="false" ht="35.05" hidden="false" customHeight="false" outlineLevel="0" collapsed="false">
      <c r="A88" s="4" t="s">
        <v>408</v>
      </c>
      <c r="B88" s="5" t="s">
        <v>409</v>
      </c>
      <c r="C88" s="4" t="s">
        <v>55</v>
      </c>
      <c r="D88" s="4" t="n">
        <v>616</v>
      </c>
      <c r="E88" s="9" t="s">
        <v>23</v>
      </c>
      <c r="F88" s="4"/>
      <c r="G88" s="4" t="s">
        <v>109</v>
      </c>
      <c r="H88" s="4" t="n">
        <v>4</v>
      </c>
      <c r="I88" s="5" t="s">
        <v>410</v>
      </c>
      <c r="J88" s="5"/>
      <c r="K88" s="5"/>
      <c r="L88" s="16" t="n">
        <v>1</v>
      </c>
    </row>
    <row r="89" customFormat="false" ht="102.2" hidden="false" customHeight="false" outlineLevel="0" collapsed="false">
      <c r="A89" s="4" t="s">
        <v>411</v>
      </c>
      <c r="B89" s="5" t="s">
        <v>412</v>
      </c>
      <c r="C89" s="4" t="s">
        <v>55</v>
      </c>
      <c r="D89" s="4" t="n">
        <v>1288</v>
      </c>
      <c r="E89" s="11" t="s">
        <v>24</v>
      </c>
      <c r="F89" s="9" t="s">
        <v>127</v>
      </c>
      <c r="G89" s="4" t="s">
        <v>109</v>
      </c>
      <c r="H89" s="4" t="n">
        <v>6</v>
      </c>
      <c r="I89" s="5" t="s">
        <v>413</v>
      </c>
      <c r="J89" s="5" t="s">
        <v>414</v>
      </c>
      <c r="K89" s="5" t="s">
        <v>415</v>
      </c>
      <c r="L89" s="16" t="n">
        <v>0.76</v>
      </c>
    </row>
    <row r="90" customFormat="false" ht="15" hidden="false" customHeight="false" outlineLevel="0" collapsed="false">
      <c r="A90" s="4" t="s">
        <v>416</v>
      </c>
      <c r="B90" s="5" t="s">
        <v>417</v>
      </c>
      <c r="C90" s="4" t="s">
        <v>55</v>
      </c>
      <c r="D90" s="4" t="n">
        <v>519</v>
      </c>
      <c r="E90" s="9" t="s">
        <v>23</v>
      </c>
      <c r="F90" s="4"/>
      <c r="G90" s="4" t="s">
        <v>120</v>
      </c>
      <c r="H90" s="4" t="n">
        <v>2</v>
      </c>
      <c r="I90" s="5" t="s">
        <v>418</v>
      </c>
      <c r="J90" s="5"/>
      <c r="K90" s="5"/>
      <c r="L90" s="16" t="n">
        <v>1</v>
      </c>
    </row>
    <row r="91" customFormat="false" ht="79.85" hidden="false" customHeight="false" outlineLevel="0" collapsed="false">
      <c r="A91" s="4" t="s">
        <v>419</v>
      </c>
      <c r="B91" s="5" t="s">
        <v>420</v>
      </c>
      <c r="C91" s="4" t="s">
        <v>55</v>
      </c>
      <c r="D91" s="4" t="n">
        <v>833</v>
      </c>
      <c r="E91" s="11" t="s">
        <v>24</v>
      </c>
      <c r="F91" s="9" t="s">
        <v>127</v>
      </c>
      <c r="G91" s="4" t="s">
        <v>120</v>
      </c>
      <c r="H91" s="4" t="n">
        <v>2</v>
      </c>
      <c r="I91" s="5" t="s">
        <v>421</v>
      </c>
      <c r="J91" s="5" t="s">
        <v>422</v>
      </c>
      <c r="K91" s="5" t="s">
        <v>423</v>
      </c>
      <c r="L91" s="16" t="n">
        <v>1</v>
      </c>
    </row>
    <row r="92" customFormat="false" ht="15" hidden="false" customHeight="false" outlineLevel="0" collapsed="false">
      <c r="A92" s="4" t="s">
        <v>424</v>
      </c>
      <c r="B92" s="5" t="s">
        <v>425</v>
      </c>
      <c r="C92" s="4" t="s">
        <v>55</v>
      </c>
      <c r="D92" s="4" t="n">
        <v>740</v>
      </c>
      <c r="E92" s="9" t="s">
        <v>23</v>
      </c>
      <c r="F92" s="4"/>
      <c r="G92" s="4" t="s">
        <v>120</v>
      </c>
      <c r="H92" s="4" t="n">
        <v>2</v>
      </c>
      <c r="I92" s="5" t="s">
        <v>426</v>
      </c>
      <c r="J92" s="5"/>
      <c r="K92" s="5"/>
      <c r="L92" s="16" t="n">
        <v>1</v>
      </c>
    </row>
    <row r="93" customFormat="false" ht="23.85" hidden="false" customHeight="false" outlineLevel="0" collapsed="false">
      <c r="A93" s="4" t="s">
        <v>427</v>
      </c>
      <c r="B93" s="5" t="s">
        <v>428</v>
      </c>
      <c r="C93" s="4" t="s">
        <v>55</v>
      </c>
      <c r="D93" s="4" t="n">
        <v>328</v>
      </c>
      <c r="E93" s="9" t="s">
        <v>23</v>
      </c>
      <c r="F93" s="4"/>
      <c r="G93" s="4" t="s">
        <v>120</v>
      </c>
      <c r="H93" s="4" t="n">
        <v>1</v>
      </c>
      <c r="I93" s="5" t="s">
        <v>429</v>
      </c>
      <c r="J93" s="5"/>
      <c r="K93" s="5"/>
      <c r="L93" s="16" t="n">
        <v>1</v>
      </c>
    </row>
    <row r="94" customFormat="false" ht="57.45" hidden="false" customHeight="false" outlineLevel="0" collapsed="false">
      <c r="A94" s="4" t="s">
        <v>430</v>
      </c>
      <c r="B94" s="5" t="s">
        <v>431</v>
      </c>
      <c r="C94" s="4" t="s">
        <v>55</v>
      </c>
      <c r="D94" s="4" t="n">
        <v>30</v>
      </c>
      <c r="E94" s="15" t="s">
        <v>264</v>
      </c>
      <c r="F94" s="4"/>
      <c r="G94" s="4" t="s">
        <v>116</v>
      </c>
      <c r="H94" s="4" t="n">
        <v>0</v>
      </c>
      <c r="I94" s="5" t="s">
        <v>215</v>
      </c>
      <c r="J94" s="5" t="s">
        <v>432</v>
      </c>
      <c r="K94" s="5"/>
      <c r="L94" s="16" t="n">
        <v>1</v>
      </c>
    </row>
    <row r="95" customFormat="false" ht="15" hidden="false" customHeight="false" outlineLevel="0" collapsed="false">
      <c r="A95" s="4" t="s">
        <v>433</v>
      </c>
      <c r="B95" s="5" t="s">
        <v>434</v>
      </c>
      <c r="C95" s="4" t="s">
        <v>55</v>
      </c>
      <c r="D95" s="4" t="n">
        <v>153</v>
      </c>
      <c r="E95" s="9" t="s">
        <v>23</v>
      </c>
      <c r="F95" s="4"/>
      <c r="G95" s="4" t="s">
        <v>120</v>
      </c>
      <c r="H95" s="4" t="n">
        <v>1</v>
      </c>
      <c r="I95" s="5" t="s">
        <v>435</v>
      </c>
      <c r="J95" s="5"/>
      <c r="K95" s="5"/>
      <c r="L95" s="16" t="n">
        <v>1</v>
      </c>
    </row>
    <row r="96" customFormat="false" ht="15" hidden="false" customHeight="false" outlineLevel="0" collapsed="false">
      <c r="A96" s="4" t="s">
        <v>436</v>
      </c>
      <c r="B96" s="5" t="s">
        <v>437</v>
      </c>
      <c r="C96" s="4" t="s">
        <v>55</v>
      </c>
      <c r="D96" s="4" t="n">
        <v>195</v>
      </c>
      <c r="E96" s="9" t="s">
        <v>23</v>
      </c>
      <c r="F96" s="4"/>
      <c r="G96" s="4" t="s">
        <v>120</v>
      </c>
      <c r="H96" s="4" t="n">
        <v>1</v>
      </c>
      <c r="I96" s="5" t="s">
        <v>438</v>
      </c>
      <c r="J96" s="5"/>
      <c r="K96" s="5"/>
      <c r="L96" s="16" t="n">
        <v>0.75</v>
      </c>
    </row>
    <row r="97" customFormat="false" ht="35.05" hidden="false" customHeight="false" outlineLevel="0" collapsed="false">
      <c r="A97" s="4" t="s">
        <v>439</v>
      </c>
      <c r="B97" s="5" t="s">
        <v>440</v>
      </c>
      <c r="C97" s="4" t="s">
        <v>55</v>
      </c>
      <c r="D97" s="4" t="n">
        <v>126</v>
      </c>
      <c r="E97" s="9" t="s">
        <v>23</v>
      </c>
      <c r="F97" s="4"/>
      <c r="G97" s="4" t="s">
        <v>109</v>
      </c>
      <c r="H97" s="4" t="n">
        <v>4</v>
      </c>
      <c r="I97" s="5" t="s">
        <v>441</v>
      </c>
      <c r="J97" s="5"/>
      <c r="K97" s="5"/>
      <c r="L97" s="16" t="n">
        <v>1</v>
      </c>
    </row>
    <row r="98" customFormat="false" ht="15" hidden="false" customHeight="false" outlineLevel="0" collapsed="false">
      <c r="A98" s="4" t="s">
        <v>442</v>
      </c>
      <c r="B98" s="5" t="s">
        <v>443</v>
      </c>
      <c r="C98" s="4" t="s">
        <v>55</v>
      </c>
      <c r="D98" s="4" t="n">
        <v>962</v>
      </c>
      <c r="E98" s="9" t="s">
        <v>23</v>
      </c>
      <c r="F98" s="4"/>
      <c r="G98" s="4" t="s">
        <v>116</v>
      </c>
      <c r="H98" s="4" t="n">
        <v>0</v>
      </c>
      <c r="I98" s="5" t="s">
        <v>177</v>
      </c>
      <c r="J98" s="5"/>
      <c r="K98" s="5"/>
      <c r="L98" s="16" t="n">
        <v>0.5</v>
      </c>
    </row>
    <row r="99" customFormat="false" ht="35.05" hidden="false" customHeight="false" outlineLevel="0" collapsed="false">
      <c r="A99" s="4" t="s">
        <v>444</v>
      </c>
      <c r="B99" s="5" t="s">
        <v>445</v>
      </c>
      <c r="C99" s="4" t="s">
        <v>59</v>
      </c>
      <c r="D99" s="4" t="n">
        <v>4</v>
      </c>
      <c r="E99" s="15" t="s">
        <v>264</v>
      </c>
      <c r="F99" s="4"/>
      <c r="G99" s="4" t="s">
        <v>116</v>
      </c>
      <c r="H99" s="4" t="n">
        <v>0</v>
      </c>
      <c r="I99" s="5" t="s">
        <v>446</v>
      </c>
      <c r="J99" s="5" t="s">
        <v>447</v>
      </c>
      <c r="K99" s="5"/>
      <c r="L99" s="16" t="n">
        <v>1</v>
      </c>
    </row>
    <row r="100" customFormat="false" ht="102.2" hidden="false" customHeight="false" outlineLevel="0" collapsed="false">
      <c r="A100" s="4" t="s">
        <v>448</v>
      </c>
      <c r="B100" s="5" t="s">
        <v>449</v>
      </c>
      <c r="C100" s="4" t="s">
        <v>59</v>
      </c>
      <c r="D100" s="4" t="n">
        <v>654</v>
      </c>
      <c r="E100" s="11" t="s">
        <v>24</v>
      </c>
      <c r="F100" s="9" t="s">
        <v>127</v>
      </c>
      <c r="G100" s="4" t="s">
        <v>120</v>
      </c>
      <c r="H100" s="4" t="n">
        <v>1</v>
      </c>
      <c r="I100" s="5" t="s">
        <v>164</v>
      </c>
      <c r="J100" s="5" t="s">
        <v>450</v>
      </c>
      <c r="K100" s="5" t="s">
        <v>451</v>
      </c>
      <c r="L100" s="16" t="n">
        <v>1</v>
      </c>
    </row>
    <row r="101" customFormat="false" ht="23.85" hidden="false" customHeight="false" outlineLevel="0" collapsed="false">
      <c r="A101" s="4" t="s">
        <v>452</v>
      </c>
      <c r="B101" s="5" t="s">
        <v>453</v>
      </c>
      <c r="C101" s="4" t="s">
        <v>59</v>
      </c>
      <c r="D101" s="4" t="n">
        <v>389</v>
      </c>
      <c r="E101" s="9" t="s">
        <v>23</v>
      </c>
      <c r="F101" s="4"/>
      <c r="G101" s="4" t="s">
        <v>109</v>
      </c>
      <c r="H101" s="4" t="n">
        <v>1</v>
      </c>
      <c r="I101" s="5" t="s">
        <v>454</v>
      </c>
      <c r="J101" s="5"/>
      <c r="K101" s="5"/>
      <c r="L101" s="16" t="n">
        <v>0.75</v>
      </c>
    </row>
    <row r="102" customFormat="false" ht="102.2" hidden="false" customHeight="false" outlineLevel="0" collapsed="false">
      <c r="A102" s="4" t="s">
        <v>455</v>
      </c>
      <c r="B102" s="5" t="s">
        <v>456</v>
      </c>
      <c r="C102" s="4" t="s">
        <v>59</v>
      </c>
      <c r="D102" s="4" t="n">
        <v>1364</v>
      </c>
      <c r="E102" s="11" t="s">
        <v>24</v>
      </c>
      <c r="F102" s="9" t="s">
        <v>127</v>
      </c>
      <c r="G102" s="4" t="s">
        <v>109</v>
      </c>
      <c r="H102" s="4" t="n">
        <v>8</v>
      </c>
      <c r="I102" s="5" t="s">
        <v>457</v>
      </c>
      <c r="J102" s="5" t="s">
        <v>458</v>
      </c>
      <c r="K102" s="5" t="s">
        <v>459</v>
      </c>
      <c r="L102" s="16" t="n">
        <v>0.6</v>
      </c>
    </row>
    <row r="103" customFormat="false" ht="15" hidden="false" customHeight="false" outlineLevel="0" collapsed="false">
      <c r="A103" s="4" t="s">
        <v>460</v>
      </c>
      <c r="B103" s="5" t="s">
        <v>461</v>
      </c>
      <c r="C103" s="4" t="s">
        <v>59</v>
      </c>
      <c r="D103" s="4" t="n">
        <v>40</v>
      </c>
      <c r="E103" s="9" t="s">
        <v>23</v>
      </c>
      <c r="F103" s="4"/>
      <c r="G103" s="4" t="s">
        <v>116</v>
      </c>
      <c r="H103" s="4" t="n">
        <v>0</v>
      </c>
      <c r="I103" s="5" t="s">
        <v>117</v>
      </c>
      <c r="J103" s="5"/>
      <c r="K103" s="5"/>
      <c r="L103" s="16" t="n">
        <v>1</v>
      </c>
    </row>
    <row r="104" customFormat="false" ht="158.2" hidden="false" customHeight="false" outlineLevel="0" collapsed="false">
      <c r="A104" s="4" t="s">
        <v>462</v>
      </c>
      <c r="B104" s="5" t="s">
        <v>449</v>
      </c>
      <c r="C104" s="4" t="s">
        <v>59</v>
      </c>
      <c r="D104" s="4" t="n">
        <v>685</v>
      </c>
      <c r="E104" s="11" t="s">
        <v>24</v>
      </c>
      <c r="F104" s="9" t="s">
        <v>127</v>
      </c>
      <c r="G104" s="4" t="s">
        <v>116</v>
      </c>
      <c r="H104" s="4" t="n">
        <v>0</v>
      </c>
      <c r="I104" s="5" t="s">
        <v>117</v>
      </c>
      <c r="J104" s="5" t="s">
        <v>463</v>
      </c>
      <c r="K104" s="5" t="s">
        <v>464</v>
      </c>
      <c r="L104" s="16" t="n">
        <v>0.5</v>
      </c>
    </row>
    <row r="105" customFormat="false" ht="15" hidden="false" customHeight="false" outlineLevel="0" collapsed="false">
      <c r="A105" s="4" t="s">
        <v>465</v>
      </c>
      <c r="B105" s="5" t="s">
        <v>466</v>
      </c>
      <c r="C105" s="4" t="s">
        <v>59</v>
      </c>
      <c r="D105" s="4" t="n">
        <v>204</v>
      </c>
      <c r="E105" s="9" t="s">
        <v>23</v>
      </c>
      <c r="F105" s="4"/>
      <c r="G105" s="4" t="s">
        <v>120</v>
      </c>
      <c r="H105" s="4" t="n">
        <v>0</v>
      </c>
      <c r="I105" s="5" t="s">
        <v>467</v>
      </c>
      <c r="J105" s="5"/>
      <c r="K105" s="5"/>
      <c r="L105" s="16" t="n">
        <v>0</v>
      </c>
    </row>
    <row r="106" customFormat="false" ht="46.25" hidden="false" customHeight="false" outlineLevel="0" collapsed="false">
      <c r="A106" s="4" t="s">
        <v>468</v>
      </c>
      <c r="B106" s="5" t="s">
        <v>456</v>
      </c>
      <c r="C106" s="4" t="s">
        <v>59</v>
      </c>
      <c r="D106" s="4" t="n">
        <v>1103</v>
      </c>
      <c r="E106" s="9" t="s">
        <v>23</v>
      </c>
      <c r="F106" s="4"/>
      <c r="G106" s="4" t="s">
        <v>109</v>
      </c>
      <c r="H106" s="4" t="n">
        <v>4</v>
      </c>
      <c r="I106" s="5" t="s">
        <v>469</v>
      </c>
      <c r="J106" s="5"/>
      <c r="K106" s="5"/>
      <c r="L106" s="16" t="n">
        <v>0.77</v>
      </c>
    </row>
    <row r="107" customFormat="false" ht="23.85" hidden="false" customHeight="false" outlineLevel="0" collapsed="false">
      <c r="A107" s="4" t="s">
        <v>470</v>
      </c>
      <c r="B107" s="5" t="s">
        <v>471</v>
      </c>
      <c r="C107" s="4" t="s">
        <v>59</v>
      </c>
      <c r="D107" s="4" t="n">
        <v>9</v>
      </c>
      <c r="E107" s="15" t="s">
        <v>264</v>
      </c>
      <c r="F107" s="4"/>
      <c r="G107" s="4" t="s">
        <v>116</v>
      </c>
      <c r="H107" s="4" t="n">
        <v>0</v>
      </c>
      <c r="I107" s="5" t="s">
        <v>133</v>
      </c>
      <c r="J107" s="5" t="s">
        <v>472</v>
      </c>
      <c r="K107" s="5"/>
      <c r="L107" s="16" t="n">
        <v>1</v>
      </c>
    </row>
    <row r="108" customFormat="false" ht="23.85" hidden="false" customHeight="false" outlineLevel="0" collapsed="false">
      <c r="A108" s="4" t="s">
        <v>473</v>
      </c>
      <c r="B108" s="5" t="s">
        <v>474</v>
      </c>
      <c r="C108" s="4" t="s">
        <v>59</v>
      </c>
      <c r="D108" s="4" t="n">
        <v>530</v>
      </c>
      <c r="E108" s="9" t="s">
        <v>23</v>
      </c>
      <c r="F108" s="4"/>
      <c r="G108" s="4" t="s">
        <v>109</v>
      </c>
      <c r="H108" s="4" t="n">
        <v>1</v>
      </c>
      <c r="I108" s="5" t="s">
        <v>475</v>
      </c>
      <c r="J108" s="5"/>
      <c r="K108" s="5"/>
      <c r="L108" s="16" t="n">
        <v>0.67</v>
      </c>
    </row>
    <row r="109" customFormat="false" ht="91" hidden="false" customHeight="false" outlineLevel="0" collapsed="false">
      <c r="A109" s="4" t="s">
        <v>476</v>
      </c>
      <c r="B109" s="5" t="s">
        <v>477</v>
      </c>
      <c r="C109" s="4" t="s">
        <v>59</v>
      </c>
      <c r="D109" s="4" t="n">
        <v>638</v>
      </c>
      <c r="E109" s="11" t="s">
        <v>24</v>
      </c>
      <c r="F109" s="9" t="s">
        <v>127</v>
      </c>
      <c r="G109" s="4" t="s">
        <v>120</v>
      </c>
      <c r="H109" s="4" t="n">
        <v>2</v>
      </c>
      <c r="I109" s="5" t="s">
        <v>478</v>
      </c>
      <c r="J109" s="5" t="s">
        <v>479</v>
      </c>
      <c r="K109" s="5" t="s">
        <v>480</v>
      </c>
      <c r="L109" s="16" t="n">
        <v>1</v>
      </c>
    </row>
    <row r="110" customFormat="false" ht="91" hidden="false" customHeight="false" outlineLevel="0" collapsed="false">
      <c r="A110" s="4" t="s">
        <v>481</v>
      </c>
      <c r="B110" s="5" t="s">
        <v>482</v>
      </c>
      <c r="C110" s="4" t="s">
        <v>59</v>
      </c>
      <c r="D110" s="4" t="n">
        <v>467</v>
      </c>
      <c r="E110" s="11" t="s">
        <v>24</v>
      </c>
      <c r="F110" s="9" t="s">
        <v>127</v>
      </c>
      <c r="G110" s="4" t="s">
        <v>109</v>
      </c>
      <c r="H110" s="4" t="n">
        <v>3</v>
      </c>
      <c r="I110" s="5" t="s">
        <v>483</v>
      </c>
      <c r="J110" s="5" t="s">
        <v>484</v>
      </c>
      <c r="K110" s="5" t="s">
        <v>485</v>
      </c>
      <c r="L110" s="16" t="n">
        <v>1</v>
      </c>
    </row>
    <row r="111" customFormat="false" ht="46.25" hidden="false" customHeight="false" outlineLevel="0" collapsed="false">
      <c r="A111" s="4" t="s">
        <v>486</v>
      </c>
      <c r="B111" s="5" t="s">
        <v>487</v>
      </c>
      <c r="C111" s="4" t="s">
        <v>59</v>
      </c>
      <c r="D111" s="4" t="n">
        <v>29</v>
      </c>
      <c r="E111" s="15" t="s">
        <v>264</v>
      </c>
      <c r="F111" s="4"/>
      <c r="G111" s="4" t="s">
        <v>116</v>
      </c>
      <c r="H111" s="4" t="n">
        <v>0</v>
      </c>
      <c r="I111" s="5" t="s">
        <v>488</v>
      </c>
      <c r="J111" s="5" t="s">
        <v>489</v>
      </c>
      <c r="K111" s="5"/>
      <c r="L111" s="16" t="n">
        <v>1</v>
      </c>
    </row>
    <row r="112" customFormat="false" ht="23.85" hidden="false" customHeight="false" outlineLevel="0" collapsed="false">
      <c r="A112" s="4" t="s">
        <v>490</v>
      </c>
      <c r="B112" s="5" t="s">
        <v>491</v>
      </c>
      <c r="C112" s="4" t="s">
        <v>59</v>
      </c>
      <c r="D112" s="4" t="n">
        <v>491</v>
      </c>
      <c r="E112" s="9" t="s">
        <v>23</v>
      </c>
      <c r="F112" s="4"/>
      <c r="G112" s="4" t="s">
        <v>120</v>
      </c>
      <c r="H112" s="4" t="n">
        <v>1</v>
      </c>
      <c r="I112" s="5" t="s">
        <v>492</v>
      </c>
      <c r="J112" s="5"/>
      <c r="K112" s="5"/>
      <c r="L112" s="16" t="n">
        <v>1</v>
      </c>
    </row>
    <row r="113" customFormat="false" ht="15" hidden="false" customHeight="false" outlineLevel="0" collapsed="false">
      <c r="A113" s="4" t="s">
        <v>493</v>
      </c>
      <c r="B113" s="5" t="s">
        <v>494</v>
      </c>
      <c r="C113" s="4" t="s">
        <v>59</v>
      </c>
      <c r="D113" s="4" t="n">
        <v>584</v>
      </c>
      <c r="E113" s="9" t="s">
        <v>23</v>
      </c>
      <c r="F113" s="4"/>
      <c r="G113" s="4" t="s">
        <v>120</v>
      </c>
      <c r="H113" s="4" t="n">
        <v>1</v>
      </c>
      <c r="I113" s="5" t="s">
        <v>495</v>
      </c>
      <c r="J113" s="5"/>
      <c r="K113" s="5"/>
      <c r="L113" s="16" t="n">
        <v>1</v>
      </c>
    </row>
    <row r="114" customFormat="false" ht="23.85" hidden="false" customHeight="false" outlineLevel="0" collapsed="false">
      <c r="A114" s="4" t="s">
        <v>496</v>
      </c>
      <c r="B114" s="5" t="s">
        <v>497</v>
      </c>
      <c r="C114" s="4" t="s">
        <v>59</v>
      </c>
      <c r="D114" s="4" t="n">
        <v>1659</v>
      </c>
      <c r="E114" s="9" t="s">
        <v>23</v>
      </c>
      <c r="F114" s="4"/>
      <c r="G114" s="4" t="s">
        <v>109</v>
      </c>
      <c r="H114" s="4" t="n">
        <v>3</v>
      </c>
      <c r="I114" s="5" t="s">
        <v>498</v>
      </c>
      <c r="J114" s="5"/>
      <c r="K114" s="5"/>
      <c r="L114" s="16" t="n">
        <v>0.87</v>
      </c>
    </row>
  </sheetData>
  <autoFilter ref="A1:L1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9"/>
    <col collapsed="false" customWidth="true" hidden="false" outlineLevel="0" max="4" min="4" style="0" width="12"/>
    <col collapsed="false" customWidth="true" hidden="false" outlineLevel="0" max="5" min="5" style="0" width="10"/>
    <col collapsed="false" customWidth="true" hidden="false" outlineLevel="0" max="6" min="6" style="0" width="11"/>
    <col collapsed="false" customWidth="true" hidden="false" outlineLevel="0" max="7" min="7" style="0" width="9"/>
    <col collapsed="false" customWidth="true" hidden="false" outlineLevel="0" max="9" min="8" style="0" width="70"/>
  </cols>
  <sheetData>
    <row r="1" customFormat="false" ht="15" hidden="false" customHeight="false" outlineLevel="0" collapsed="false">
      <c r="A1" s="18" t="s">
        <v>499</v>
      </c>
    </row>
    <row r="2" customFormat="false" ht="15" hidden="false" customHeight="false" outlineLevel="0" collapsed="false">
      <c r="A2" s="6" t="s">
        <v>500</v>
      </c>
    </row>
    <row r="4" customFormat="false" ht="30" hidden="false" customHeight="true" outlineLevel="0" collapsed="false">
      <c r="A4" s="3" t="s">
        <v>2</v>
      </c>
      <c r="B4" s="3" t="s">
        <v>96</v>
      </c>
      <c r="C4" s="3" t="s">
        <v>98</v>
      </c>
      <c r="D4" s="3" t="s">
        <v>100</v>
      </c>
      <c r="E4" s="3" t="s">
        <v>101</v>
      </c>
      <c r="F4" s="3" t="s">
        <v>102</v>
      </c>
      <c r="G4" s="3" t="s">
        <v>99</v>
      </c>
      <c r="H4" s="3" t="s">
        <v>104</v>
      </c>
      <c r="I4" s="3" t="s">
        <v>105</v>
      </c>
    </row>
    <row r="5" customFormat="false" ht="68.65" hidden="false" customHeight="false" outlineLevel="0" collapsed="false">
      <c r="A5" s="4" t="n">
        <v>1</v>
      </c>
      <c r="B5" s="4" t="s">
        <v>190</v>
      </c>
      <c r="C5" s="4" t="s">
        <v>37</v>
      </c>
      <c r="D5" s="17" t="s">
        <v>25</v>
      </c>
      <c r="E5" s="9" t="s">
        <v>127</v>
      </c>
      <c r="F5" s="15" t="s">
        <v>116</v>
      </c>
      <c r="G5" s="4" t="n">
        <v>74</v>
      </c>
      <c r="H5" s="5" t="s">
        <v>192</v>
      </c>
      <c r="I5" s="5" t="s">
        <v>193</v>
      </c>
    </row>
    <row r="6" customFormat="false" ht="135.8" hidden="false" customHeight="false" outlineLevel="0" collapsed="false">
      <c r="A6" s="4" t="n">
        <v>2</v>
      </c>
      <c r="B6" s="4" t="s">
        <v>275</v>
      </c>
      <c r="C6" s="4" t="s">
        <v>42</v>
      </c>
      <c r="D6" s="11" t="s">
        <v>24</v>
      </c>
      <c r="E6" s="9" t="s">
        <v>127</v>
      </c>
      <c r="F6" s="17" t="s">
        <v>109</v>
      </c>
      <c r="G6" s="4" t="n">
        <v>6777</v>
      </c>
      <c r="H6" s="5" t="s">
        <v>278</v>
      </c>
      <c r="I6" s="5" t="s">
        <v>279</v>
      </c>
    </row>
    <row r="7" customFormat="false" ht="79.85" hidden="false" customHeight="false" outlineLevel="0" collapsed="false">
      <c r="A7" s="4" t="n">
        <v>3</v>
      </c>
      <c r="B7" s="4" t="s">
        <v>300</v>
      </c>
      <c r="C7" s="4" t="s">
        <v>46</v>
      </c>
      <c r="D7" s="11" t="s">
        <v>24</v>
      </c>
      <c r="E7" s="9" t="s">
        <v>127</v>
      </c>
      <c r="F7" s="17" t="s">
        <v>109</v>
      </c>
      <c r="G7" s="4" t="n">
        <v>3558</v>
      </c>
      <c r="H7" s="5" t="s">
        <v>303</v>
      </c>
      <c r="I7" s="5" t="s">
        <v>304</v>
      </c>
    </row>
    <row r="8" customFormat="false" ht="113.4" hidden="false" customHeight="false" outlineLevel="0" collapsed="false">
      <c r="A8" s="4" t="n">
        <v>4</v>
      </c>
      <c r="B8" s="4" t="s">
        <v>364</v>
      </c>
      <c r="C8" s="4" t="s">
        <v>46</v>
      </c>
      <c r="D8" s="11" t="s">
        <v>24</v>
      </c>
      <c r="E8" s="9" t="s">
        <v>127</v>
      </c>
      <c r="F8" s="17" t="s">
        <v>109</v>
      </c>
      <c r="G8" s="4" t="n">
        <v>2496</v>
      </c>
      <c r="H8" s="5" t="s">
        <v>366</v>
      </c>
      <c r="I8" s="5" t="s">
        <v>367</v>
      </c>
    </row>
    <row r="9" customFormat="false" ht="68.65" hidden="false" customHeight="false" outlineLevel="0" collapsed="false">
      <c r="A9" s="4" t="n">
        <v>5</v>
      </c>
      <c r="B9" s="4" t="s">
        <v>167</v>
      </c>
      <c r="C9" s="4" t="s">
        <v>37</v>
      </c>
      <c r="D9" s="11" t="s">
        <v>24</v>
      </c>
      <c r="E9" s="9" t="s">
        <v>127</v>
      </c>
      <c r="F9" s="17" t="s">
        <v>109</v>
      </c>
      <c r="G9" s="4" t="n">
        <v>2370</v>
      </c>
      <c r="H9" s="5" t="s">
        <v>170</v>
      </c>
      <c r="I9" s="5" t="s">
        <v>171</v>
      </c>
    </row>
    <row r="10" customFormat="false" ht="102.2" hidden="false" customHeight="false" outlineLevel="0" collapsed="false">
      <c r="A10" s="4" t="n">
        <v>6</v>
      </c>
      <c r="B10" s="4" t="s">
        <v>398</v>
      </c>
      <c r="C10" s="4" t="s">
        <v>50</v>
      </c>
      <c r="D10" s="11" t="s">
        <v>24</v>
      </c>
      <c r="E10" s="9" t="s">
        <v>127</v>
      </c>
      <c r="F10" s="17" t="s">
        <v>109</v>
      </c>
      <c r="G10" s="4" t="n">
        <v>2276</v>
      </c>
      <c r="H10" s="5" t="s">
        <v>400</v>
      </c>
      <c r="I10" s="5" t="s">
        <v>401</v>
      </c>
    </row>
    <row r="11" customFormat="false" ht="91" hidden="false" customHeight="false" outlineLevel="0" collapsed="false">
      <c r="A11" s="4" t="n">
        <v>7</v>
      </c>
      <c r="B11" s="4" t="s">
        <v>231</v>
      </c>
      <c r="C11" s="4" t="s">
        <v>37</v>
      </c>
      <c r="D11" s="11" t="s">
        <v>24</v>
      </c>
      <c r="E11" s="9" t="s">
        <v>127</v>
      </c>
      <c r="F11" s="17" t="s">
        <v>109</v>
      </c>
      <c r="G11" s="4" t="n">
        <v>2063</v>
      </c>
      <c r="H11" s="5" t="s">
        <v>234</v>
      </c>
      <c r="I11" s="5" t="s">
        <v>235</v>
      </c>
    </row>
    <row r="12" customFormat="false" ht="68.65" hidden="false" customHeight="false" outlineLevel="0" collapsed="false">
      <c r="A12" s="4" t="n">
        <v>8</v>
      </c>
      <c r="B12" s="4" t="s">
        <v>125</v>
      </c>
      <c r="C12" s="4" t="s">
        <v>32</v>
      </c>
      <c r="D12" s="11" t="s">
        <v>24</v>
      </c>
      <c r="E12" s="9" t="s">
        <v>127</v>
      </c>
      <c r="F12" s="17" t="s">
        <v>109</v>
      </c>
      <c r="G12" s="4" t="n">
        <v>1403</v>
      </c>
      <c r="H12" s="5" t="s">
        <v>129</v>
      </c>
      <c r="I12" s="5" t="s">
        <v>130</v>
      </c>
    </row>
    <row r="13" customFormat="false" ht="79.85" hidden="false" customHeight="false" outlineLevel="0" collapsed="false">
      <c r="A13" s="4" t="n">
        <v>9</v>
      </c>
      <c r="B13" s="4" t="s">
        <v>455</v>
      </c>
      <c r="C13" s="4" t="s">
        <v>59</v>
      </c>
      <c r="D13" s="11" t="s">
        <v>24</v>
      </c>
      <c r="E13" s="9" t="s">
        <v>127</v>
      </c>
      <c r="F13" s="17" t="s">
        <v>109</v>
      </c>
      <c r="G13" s="4" t="n">
        <v>1364</v>
      </c>
      <c r="H13" s="5" t="s">
        <v>458</v>
      </c>
      <c r="I13" s="5" t="s">
        <v>459</v>
      </c>
    </row>
    <row r="14" customFormat="false" ht="91" hidden="false" customHeight="false" outlineLevel="0" collapsed="false">
      <c r="A14" s="4" t="n">
        <v>10</v>
      </c>
      <c r="B14" s="4" t="s">
        <v>411</v>
      </c>
      <c r="C14" s="4" t="s">
        <v>55</v>
      </c>
      <c r="D14" s="11" t="s">
        <v>24</v>
      </c>
      <c r="E14" s="9" t="s">
        <v>127</v>
      </c>
      <c r="F14" s="17" t="s">
        <v>109</v>
      </c>
      <c r="G14" s="4" t="n">
        <v>1288</v>
      </c>
      <c r="H14" s="5" t="s">
        <v>414</v>
      </c>
      <c r="I14" s="5" t="s">
        <v>415</v>
      </c>
    </row>
    <row r="15" customFormat="false" ht="79.85" hidden="false" customHeight="false" outlineLevel="0" collapsed="false">
      <c r="A15" s="4" t="n">
        <v>11</v>
      </c>
      <c r="B15" s="4" t="s">
        <v>162</v>
      </c>
      <c r="C15" s="4" t="s">
        <v>37</v>
      </c>
      <c r="D15" s="11" t="s">
        <v>24</v>
      </c>
      <c r="E15" s="9" t="s">
        <v>127</v>
      </c>
      <c r="F15" s="17" t="s">
        <v>109</v>
      </c>
      <c r="G15" s="4" t="n">
        <v>1138</v>
      </c>
      <c r="H15" s="5" t="s">
        <v>165</v>
      </c>
      <c r="I15" s="5" t="s">
        <v>166</v>
      </c>
    </row>
    <row r="16" customFormat="false" ht="79.85" hidden="false" customHeight="false" outlineLevel="0" collapsed="false">
      <c r="A16" s="4" t="n">
        <v>12</v>
      </c>
      <c r="B16" s="4" t="s">
        <v>313</v>
      </c>
      <c r="C16" s="4" t="s">
        <v>46</v>
      </c>
      <c r="D16" s="11" t="s">
        <v>24</v>
      </c>
      <c r="E16" s="9" t="s">
        <v>127</v>
      </c>
      <c r="F16" s="17" t="s">
        <v>109</v>
      </c>
      <c r="G16" s="4" t="n">
        <v>1114</v>
      </c>
      <c r="H16" s="5" t="s">
        <v>316</v>
      </c>
      <c r="I16" s="5" t="s">
        <v>317</v>
      </c>
    </row>
    <row r="17" customFormat="false" ht="91" hidden="false" customHeight="false" outlineLevel="0" collapsed="false">
      <c r="A17" s="4" t="n">
        <v>13</v>
      </c>
      <c r="B17" s="4" t="s">
        <v>308</v>
      </c>
      <c r="C17" s="4" t="s">
        <v>46</v>
      </c>
      <c r="D17" s="11" t="s">
        <v>24</v>
      </c>
      <c r="E17" s="9" t="s">
        <v>127</v>
      </c>
      <c r="F17" s="17" t="s">
        <v>109</v>
      </c>
      <c r="G17" s="4" t="n">
        <v>728</v>
      </c>
      <c r="H17" s="5" t="s">
        <v>311</v>
      </c>
      <c r="I17" s="5" t="s">
        <v>312</v>
      </c>
    </row>
    <row r="18" customFormat="false" ht="79.85" hidden="false" customHeight="false" outlineLevel="0" collapsed="false">
      <c r="A18" s="4" t="n">
        <v>14</v>
      </c>
      <c r="B18" s="4" t="s">
        <v>481</v>
      </c>
      <c r="C18" s="4" t="s">
        <v>59</v>
      </c>
      <c r="D18" s="11" t="s">
        <v>24</v>
      </c>
      <c r="E18" s="9" t="s">
        <v>127</v>
      </c>
      <c r="F18" s="17" t="s">
        <v>109</v>
      </c>
      <c r="G18" s="4" t="n">
        <v>467</v>
      </c>
      <c r="H18" s="5" t="s">
        <v>484</v>
      </c>
      <c r="I18" s="5" t="s">
        <v>485</v>
      </c>
    </row>
    <row r="19" customFormat="false" ht="79.85" hidden="false" customHeight="false" outlineLevel="0" collapsed="false">
      <c r="A19" s="4" t="n">
        <v>15</v>
      </c>
      <c r="B19" s="4" t="s">
        <v>318</v>
      </c>
      <c r="C19" s="4" t="s">
        <v>46</v>
      </c>
      <c r="D19" s="11" t="s">
        <v>24</v>
      </c>
      <c r="E19" s="9" t="s">
        <v>127</v>
      </c>
      <c r="F19" s="17" t="s">
        <v>109</v>
      </c>
      <c r="G19" s="4" t="n">
        <v>446</v>
      </c>
      <c r="H19" s="5" t="s">
        <v>321</v>
      </c>
      <c r="I19" s="5" t="s">
        <v>322</v>
      </c>
    </row>
    <row r="20" customFormat="false" ht="68.65" hidden="false" customHeight="false" outlineLevel="0" collapsed="false">
      <c r="A20" s="4" t="n">
        <v>16</v>
      </c>
      <c r="B20" s="4" t="s">
        <v>248</v>
      </c>
      <c r="C20" s="4" t="s">
        <v>42</v>
      </c>
      <c r="D20" s="11" t="s">
        <v>24</v>
      </c>
      <c r="E20" s="9" t="s">
        <v>127</v>
      </c>
      <c r="F20" s="17" t="s">
        <v>109</v>
      </c>
      <c r="G20" s="4" t="n">
        <v>338</v>
      </c>
      <c r="H20" s="5" t="s">
        <v>251</v>
      </c>
      <c r="I20" s="5" t="s">
        <v>252</v>
      </c>
    </row>
    <row r="21" customFormat="false" ht="46.25" hidden="false" customHeight="false" outlineLevel="0" collapsed="false">
      <c r="A21" s="4" t="n">
        <v>17</v>
      </c>
      <c r="B21" s="4" t="s">
        <v>292</v>
      </c>
      <c r="C21" s="4" t="s">
        <v>46</v>
      </c>
      <c r="D21" s="11" t="s">
        <v>24</v>
      </c>
      <c r="E21" s="9" t="s">
        <v>127</v>
      </c>
      <c r="F21" s="17" t="s">
        <v>109</v>
      </c>
      <c r="G21" s="4" t="n">
        <v>172</v>
      </c>
      <c r="H21" s="5" t="s">
        <v>295</v>
      </c>
      <c r="I21" s="5" t="s">
        <v>296</v>
      </c>
    </row>
    <row r="22" customFormat="false" ht="68.65" hidden="false" customHeight="false" outlineLevel="0" collapsed="false">
      <c r="A22" s="4" t="n">
        <v>18</v>
      </c>
      <c r="B22" s="4" t="s">
        <v>419</v>
      </c>
      <c r="C22" s="4" t="s">
        <v>55</v>
      </c>
      <c r="D22" s="11" t="s">
        <v>24</v>
      </c>
      <c r="E22" s="9" t="s">
        <v>127</v>
      </c>
      <c r="F22" s="11" t="s">
        <v>120</v>
      </c>
      <c r="G22" s="4" t="n">
        <v>833</v>
      </c>
      <c r="H22" s="5" t="s">
        <v>422</v>
      </c>
      <c r="I22" s="5" t="s">
        <v>423</v>
      </c>
    </row>
    <row r="23" customFormat="false" ht="79.85" hidden="false" customHeight="false" outlineLevel="0" collapsed="false">
      <c r="A23" s="4" t="n">
        <v>19</v>
      </c>
      <c r="B23" s="4" t="s">
        <v>448</v>
      </c>
      <c r="C23" s="4" t="s">
        <v>59</v>
      </c>
      <c r="D23" s="11" t="s">
        <v>24</v>
      </c>
      <c r="E23" s="9" t="s">
        <v>127</v>
      </c>
      <c r="F23" s="11" t="s">
        <v>120</v>
      </c>
      <c r="G23" s="4" t="n">
        <v>654</v>
      </c>
      <c r="H23" s="5" t="s">
        <v>450</v>
      </c>
      <c r="I23" s="5" t="s">
        <v>451</v>
      </c>
    </row>
    <row r="24" customFormat="false" ht="79.85" hidden="false" customHeight="false" outlineLevel="0" collapsed="false">
      <c r="A24" s="4" t="n">
        <v>20</v>
      </c>
      <c r="B24" s="4" t="s">
        <v>476</v>
      </c>
      <c r="C24" s="4" t="s">
        <v>59</v>
      </c>
      <c r="D24" s="11" t="s">
        <v>24</v>
      </c>
      <c r="E24" s="9" t="s">
        <v>127</v>
      </c>
      <c r="F24" s="11" t="s">
        <v>120</v>
      </c>
      <c r="G24" s="4" t="n">
        <v>638</v>
      </c>
      <c r="H24" s="5" t="s">
        <v>479</v>
      </c>
      <c r="I24" s="5" t="s">
        <v>480</v>
      </c>
    </row>
    <row r="25" customFormat="false" ht="79.85" hidden="false" customHeight="false" outlineLevel="0" collapsed="false">
      <c r="A25" s="4" t="n">
        <v>21</v>
      </c>
      <c r="B25" s="4" t="s">
        <v>194</v>
      </c>
      <c r="C25" s="4" t="s">
        <v>37</v>
      </c>
      <c r="D25" s="11" t="s">
        <v>24</v>
      </c>
      <c r="E25" s="9" t="s">
        <v>127</v>
      </c>
      <c r="F25" s="11" t="s">
        <v>120</v>
      </c>
      <c r="G25" s="4" t="n">
        <v>481</v>
      </c>
      <c r="H25" s="5" t="s">
        <v>197</v>
      </c>
      <c r="I25" s="5" t="s">
        <v>198</v>
      </c>
    </row>
    <row r="26" customFormat="false" ht="57.45" hidden="false" customHeight="false" outlineLevel="0" collapsed="false">
      <c r="A26" s="4" t="n">
        <v>22</v>
      </c>
      <c r="B26" s="4" t="s">
        <v>219</v>
      </c>
      <c r="C26" s="4" t="s">
        <v>37</v>
      </c>
      <c r="D26" s="11" t="s">
        <v>24</v>
      </c>
      <c r="E26" s="9" t="s">
        <v>127</v>
      </c>
      <c r="F26" s="11" t="s">
        <v>120</v>
      </c>
      <c r="G26" s="4" t="n">
        <v>314</v>
      </c>
      <c r="H26" s="5" t="s">
        <v>222</v>
      </c>
      <c r="I26" s="5" t="s">
        <v>223</v>
      </c>
    </row>
    <row r="27" customFormat="false" ht="91" hidden="false" customHeight="false" outlineLevel="0" collapsed="false">
      <c r="A27" s="4" t="n">
        <v>23</v>
      </c>
      <c r="B27" s="4" t="s">
        <v>149</v>
      </c>
      <c r="C27" s="4" t="s">
        <v>32</v>
      </c>
      <c r="D27" s="11" t="s">
        <v>24</v>
      </c>
      <c r="E27" s="9" t="s">
        <v>127</v>
      </c>
      <c r="F27" s="11" t="s">
        <v>120</v>
      </c>
      <c r="G27" s="4" t="n">
        <v>308</v>
      </c>
      <c r="H27" s="5" t="s">
        <v>152</v>
      </c>
      <c r="I27" s="5" t="s">
        <v>153</v>
      </c>
    </row>
    <row r="28" customFormat="false" ht="57.45" hidden="false" customHeight="false" outlineLevel="0" collapsed="false">
      <c r="A28" s="4" t="n">
        <v>24</v>
      </c>
      <c r="B28" s="4" t="s">
        <v>224</v>
      </c>
      <c r="C28" s="4" t="s">
        <v>37</v>
      </c>
      <c r="D28" s="11" t="s">
        <v>24</v>
      </c>
      <c r="E28" s="9" t="s">
        <v>127</v>
      </c>
      <c r="F28" s="11" t="s">
        <v>120</v>
      </c>
      <c r="G28" s="4" t="n">
        <v>191</v>
      </c>
      <c r="H28" s="5" t="s">
        <v>226</v>
      </c>
      <c r="I28" s="5" t="s">
        <v>227</v>
      </c>
    </row>
    <row r="29" customFormat="false" ht="57.45" hidden="false" customHeight="false" outlineLevel="0" collapsed="false">
      <c r="A29" s="4" t="n">
        <v>25</v>
      </c>
      <c r="B29" s="4" t="s">
        <v>347</v>
      </c>
      <c r="C29" s="4" t="s">
        <v>46</v>
      </c>
      <c r="D29" s="11" t="s">
        <v>24</v>
      </c>
      <c r="E29" s="9" t="s">
        <v>127</v>
      </c>
      <c r="F29" s="11" t="s">
        <v>120</v>
      </c>
      <c r="G29" s="4" t="n">
        <v>119</v>
      </c>
      <c r="H29" s="5" t="s">
        <v>350</v>
      </c>
      <c r="I29" s="5" t="s">
        <v>351</v>
      </c>
    </row>
    <row r="30" customFormat="false" ht="57.45" hidden="false" customHeight="false" outlineLevel="0" collapsed="false">
      <c r="A30" s="4" t="n">
        <v>26</v>
      </c>
      <c r="B30" s="4" t="s">
        <v>199</v>
      </c>
      <c r="C30" s="4" t="s">
        <v>37</v>
      </c>
      <c r="D30" s="11" t="s">
        <v>24</v>
      </c>
      <c r="E30" s="9" t="s">
        <v>127</v>
      </c>
      <c r="F30" s="11" t="s">
        <v>120</v>
      </c>
      <c r="G30" s="4" t="n">
        <v>105</v>
      </c>
      <c r="H30" s="5" t="s">
        <v>202</v>
      </c>
      <c r="I30" s="5" t="s">
        <v>203</v>
      </c>
    </row>
    <row r="31" customFormat="false" ht="135.8" hidden="false" customHeight="false" outlineLevel="0" collapsed="false">
      <c r="A31" s="4" t="n">
        <v>27</v>
      </c>
      <c r="B31" s="4" t="s">
        <v>462</v>
      </c>
      <c r="C31" s="4" t="s">
        <v>59</v>
      </c>
      <c r="D31" s="11" t="s">
        <v>24</v>
      </c>
      <c r="E31" s="9" t="s">
        <v>127</v>
      </c>
      <c r="F31" s="15" t="s">
        <v>116</v>
      </c>
      <c r="G31" s="4" t="n">
        <v>685</v>
      </c>
      <c r="H31" s="5" t="s">
        <v>463</v>
      </c>
      <c r="I31" s="5" t="s">
        <v>464</v>
      </c>
    </row>
    <row r="32" customFormat="false" ht="46.25" hidden="false" customHeight="false" outlineLevel="0" collapsed="false">
      <c r="A32" s="4" t="n">
        <v>28</v>
      </c>
      <c r="B32" s="4" t="s">
        <v>327</v>
      </c>
      <c r="C32" s="4" t="s">
        <v>46</v>
      </c>
      <c r="D32" s="11" t="s">
        <v>24</v>
      </c>
      <c r="E32" s="9" t="s">
        <v>127</v>
      </c>
      <c r="F32" s="15" t="s">
        <v>116</v>
      </c>
      <c r="G32" s="4" t="n">
        <v>121</v>
      </c>
      <c r="H32" s="5" t="s">
        <v>330</v>
      </c>
      <c r="I32" s="5" t="s">
        <v>331</v>
      </c>
    </row>
  </sheetData>
  <autoFilter ref="A4:I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4" min="3" style="0" width="9"/>
    <col collapsed="false" customWidth="true" hidden="false" outlineLevel="0" max="5" min="5" style="0" width="34"/>
    <col collapsed="false" customWidth="true" hidden="false" outlineLevel="0" max="6" min="6" style="0" width="9"/>
    <col collapsed="false" customWidth="true" hidden="false" outlineLevel="0" max="7" min="7" style="0" width="15"/>
    <col collapsed="false" customWidth="true" hidden="false" outlineLevel="0" max="8" min="8" style="0" width="28"/>
    <col collapsed="false" customWidth="true" hidden="false" outlineLevel="0" max="9" min="9" style="0" width="62"/>
    <col collapsed="false" customWidth="true" hidden="false" outlineLevel="0" max="10" min="10" style="0" width="70"/>
  </cols>
  <sheetData>
    <row r="1" customFormat="false" ht="15" hidden="false" customHeight="false" outlineLevel="0" collapsed="false">
      <c r="A1" s="18" t="s">
        <v>501</v>
      </c>
    </row>
    <row r="2" customFormat="false" ht="15" hidden="false" customHeight="false" outlineLevel="0" collapsed="false">
      <c r="A2" s="6" t="s">
        <v>502</v>
      </c>
    </row>
    <row r="4" customFormat="false" ht="30" hidden="false" customHeight="true" outlineLevel="0" collapsed="false">
      <c r="A4" s="3" t="s">
        <v>503</v>
      </c>
      <c r="B4" s="3" t="s">
        <v>504</v>
      </c>
      <c r="C4" s="3" t="s">
        <v>98</v>
      </c>
      <c r="D4" s="3" t="s">
        <v>96</v>
      </c>
      <c r="E4" s="3" t="s">
        <v>505</v>
      </c>
      <c r="F4" s="3" t="s">
        <v>506</v>
      </c>
      <c r="G4" s="3" t="s">
        <v>507</v>
      </c>
      <c r="H4" s="3" t="s">
        <v>65</v>
      </c>
      <c r="I4" s="3" t="s">
        <v>508</v>
      </c>
      <c r="J4" s="3" t="s">
        <v>509</v>
      </c>
    </row>
    <row r="5" customFormat="false" ht="46.25" hidden="false" customHeight="false" outlineLevel="0" collapsed="false">
      <c r="A5" s="4" t="n">
        <v>1</v>
      </c>
      <c r="B5" s="4" t="s">
        <v>510</v>
      </c>
      <c r="C5" s="4" t="s">
        <v>42</v>
      </c>
      <c r="D5" s="4" t="s">
        <v>256</v>
      </c>
      <c r="E5" s="5" t="s">
        <v>511</v>
      </c>
      <c r="F5" s="4" t="s">
        <v>512</v>
      </c>
      <c r="G5" s="9" t="s">
        <v>90</v>
      </c>
      <c r="H5" s="5" t="s">
        <v>513</v>
      </c>
      <c r="I5" s="5"/>
      <c r="J5" s="5" t="s">
        <v>514</v>
      </c>
    </row>
    <row r="6" customFormat="false" ht="46.25" hidden="false" customHeight="false" outlineLevel="0" collapsed="false">
      <c r="A6" s="4" t="n">
        <v>2</v>
      </c>
      <c r="B6" s="4" t="s">
        <v>510</v>
      </c>
      <c r="C6" s="4" t="s">
        <v>46</v>
      </c>
      <c r="D6" s="4" t="s">
        <v>289</v>
      </c>
      <c r="E6" s="5" t="s">
        <v>515</v>
      </c>
      <c r="F6" s="4" t="s">
        <v>512</v>
      </c>
      <c r="G6" s="9" t="s">
        <v>90</v>
      </c>
      <c r="H6" s="5" t="s">
        <v>516</v>
      </c>
      <c r="I6" s="5"/>
      <c r="J6" s="5" t="s">
        <v>517</v>
      </c>
    </row>
    <row r="7" customFormat="false" ht="23.85" hidden="false" customHeight="false" outlineLevel="0" collapsed="false">
      <c r="A7" s="4" t="n">
        <v>3</v>
      </c>
      <c r="B7" s="4" t="s">
        <v>518</v>
      </c>
      <c r="C7" s="4" t="s">
        <v>46</v>
      </c>
      <c r="D7" s="4" t="s">
        <v>283</v>
      </c>
      <c r="E7" s="5" t="s">
        <v>519</v>
      </c>
      <c r="F7" s="4"/>
      <c r="G7" s="9" t="s">
        <v>90</v>
      </c>
      <c r="H7" s="5" t="s">
        <v>520</v>
      </c>
      <c r="I7" s="5"/>
      <c r="J7" s="5" t="s">
        <v>521</v>
      </c>
    </row>
    <row r="8" customFormat="false" ht="68.65" hidden="false" customHeight="false" outlineLevel="0" collapsed="false">
      <c r="A8" s="4" t="n">
        <v>4</v>
      </c>
      <c r="B8" s="4" t="s">
        <v>522</v>
      </c>
      <c r="C8" s="4" t="s">
        <v>50</v>
      </c>
      <c r="D8" s="4" t="s">
        <v>371</v>
      </c>
      <c r="E8" s="5" t="s">
        <v>523</v>
      </c>
      <c r="F8" s="4"/>
      <c r="G8" s="11" t="s">
        <v>92</v>
      </c>
      <c r="H8" s="5" t="s">
        <v>524</v>
      </c>
      <c r="I8" s="5" t="s">
        <v>525</v>
      </c>
      <c r="J8" s="5" t="s">
        <v>526</v>
      </c>
    </row>
    <row r="9" customFormat="false" ht="68.65" hidden="false" customHeight="false" outlineLevel="0" collapsed="false">
      <c r="A9" s="4" t="n">
        <v>5</v>
      </c>
      <c r="B9" s="4" t="s">
        <v>510</v>
      </c>
      <c r="C9" s="4" t="s">
        <v>55</v>
      </c>
      <c r="D9" s="4" t="s">
        <v>408</v>
      </c>
      <c r="E9" s="5" t="s">
        <v>527</v>
      </c>
      <c r="F9" s="4"/>
      <c r="G9" s="11" t="s">
        <v>92</v>
      </c>
      <c r="H9" s="5" t="s">
        <v>528</v>
      </c>
      <c r="I9" s="5" t="s">
        <v>529</v>
      </c>
      <c r="J9" s="5" t="s">
        <v>530</v>
      </c>
    </row>
    <row r="10" customFormat="false" ht="68.65" hidden="false" customHeight="false" outlineLevel="0" collapsed="false">
      <c r="A10" s="4" t="n">
        <v>6</v>
      </c>
      <c r="B10" s="4" t="s">
        <v>522</v>
      </c>
      <c r="C10" s="4" t="s">
        <v>50</v>
      </c>
      <c r="D10" s="4" t="s">
        <v>374</v>
      </c>
      <c r="E10" s="5" t="s">
        <v>531</v>
      </c>
      <c r="F10" s="4"/>
      <c r="G10" s="11" t="s">
        <v>92</v>
      </c>
      <c r="H10" s="5" t="s">
        <v>532</v>
      </c>
      <c r="I10" s="5" t="s">
        <v>533</v>
      </c>
      <c r="J10" s="5" t="s">
        <v>534</v>
      </c>
    </row>
    <row r="11" customFormat="false" ht="46.25" hidden="false" customHeight="false" outlineLevel="0" collapsed="false">
      <c r="A11" s="4" t="n">
        <v>7</v>
      </c>
      <c r="B11" s="4" t="s">
        <v>518</v>
      </c>
      <c r="C11" s="4" t="s">
        <v>42</v>
      </c>
      <c r="D11" s="4" t="s">
        <v>253</v>
      </c>
      <c r="E11" s="5" t="s">
        <v>535</v>
      </c>
      <c r="F11" s="4" t="s">
        <v>512</v>
      </c>
      <c r="G11" s="9" t="s">
        <v>90</v>
      </c>
      <c r="H11" s="5" t="s">
        <v>536</v>
      </c>
      <c r="I11" s="5"/>
      <c r="J11" s="5" t="s">
        <v>537</v>
      </c>
    </row>
    <row r="12" customFormat="false" ht="35.05" hidden="false" customHeight="false" outlineLevel="0" collapsed="false">
      <c r="A12" s="4" t="n">
        <v>8</v>
      </c>
      <c r="B12" s="4" t="s">
        <v>522</v>
      </c>
      <c r="C12" s="4" t="s">
        <v>46</v>
      </c>
      <c r="D12" s="4" t="s">
        <v>308</v>
      </c>
      <c r="E12" s="5" t="s">
        <v>538</v>
      </c>
      <c r="F12" s="4"/>
      <c r="G12" s="9" t="s">
        <v>90</v>
      </c>
      <c r="H12" s="5" t="s">
        <v>539</v>
      </c>
      <c r="I12" s="5"/>
      <c r="J12" s="5" t="s">
        <v>540</v>
      </c>
    </row>
    <row r="13" customFormat="false" ht="57.45" hidden="false" customHeight="false" outlineLevel="0" collapsed="false">
      <c r="A13" s="4" t="n">
        <v>9</v>
      </c>
      <c r="B13" s="4" t="s">
        <v>510</v>
      </c>
      <c r="C13" s="4" t="s">
        <v>46</v>
      </c>
      <c r="D13" s="4" t="s">
        <v>283</v>
      </c>
      <c r="E13" s="5" t="s">
        <v>541</v>
      </c>
      <c r="F13" s="4"/>
      <c r="G13" s="11" t="s">
        <v>92</v>
      </c>
      <c r="H13" s="5" t="s">
        <v>542</v>
      </c>
      <c r="I13" s="5" t="s">
        <v>543</v>
      </c>
      <c r="J13" s="5" t="s">
        <v>544</v>
      </c>
    </row>
    <row r="14" customFormat="false" ht="23.85" hidden="false" customHeight="false" outlineLevel="0" collapsed="false">
      <c r="A14" s="4" t="n">
        <v>10</v>
      </c>
      <c r="B14" s="4" t="s">
        <v>510</v>
      </c>
      <c r="C14" s="4" t="s">
        <v>46</v>
      </c>
      <c r="D14" s="4" t="s">
        <v>308</v>
      </c>
      <c r="E14" s="5" t="s">
        <v>545</v>
      </c>
      <c r="F14" s="4"/>
      <c r="G14" s="9" t="s">
        <v>90</v>
      </c>
      <c r="H14" s="5" t="s">
        <v>546</v>
      </c>
      <c r="I14" s="5"/>
      <c r="J14" s="5" t="s">
        <v>547</v>
      </c>
    </row>
    <row r="15" customFormat="false" ht="23.85" hidden="false" customHeight="false" outlineLevel="0" collapsed="false">
      <c r="A15" s="4" t="n">
        <v>11</v>
      </c>
      <c r="B15" s="4" t="s">
        <v>510</v>
      </c>
      <c r="C15" s="4" t="s">
        <v>55</v>
      </c>
      <c r="D15" s="4" t="s">
        <v>427</v>
      </c>
      <c r="E15" s="5" t="s">
        <v>548</v>
      </c>
      <c r="F15" s="4"/>
      <c r="G15" s="9" t="s">
        <v>90</v>
      </c>
      <c r="H15" s="5" t="s">
        <v>549</v>
      </c>
      <c r="I15" s="5"/>
      <c r="J15" s="5" t="s">
        <v>550</v>
      </c>
    </row>
    <row r="16" customFormat="false" ht="46.25" hidden="false" customHeight="false" outlineLevel="0" collapsed="false">
      <c r="A16" s="4" t="n">
        <v>12</v>
      </c>
      <c r="B16" s="4" t="s">
        <v>510</v>
      </c>
      <c r="C16" s="4" t="s">
        <v>46</v>
      </c>
      <c r="D16" s="4" t="s">
        <v>292</v>
      </c>
      <c r="E16" s="5" t="s">
        <v>551</v>
      </c>
      <c r="F16" s="4" t="s">
        <v>512</v>
      </c>
      <c r="G16" s="9" t="s">
        <v>90</v>
      </c>
      <c r="H16" s="5" t="s">
        <v>552</v>
      </c>
      <c r="I16" s="5"/>
      <c r="J16" s="5" t="s">
        <v>553</v>
      </c>
    </row>
    <row r="17" customFormat="false" ht="23.85" hidden="false" customHeight="false" outlineLevel="0" collapsed="false">
      <c r="A17" s="4" t="n">
        <v>13</v>
      </c>
      <c r="B17" s="4" t="s">
        <v>510</v>
      </c>
      <c r="C17" s="4" t="s">
        <v>46</v>
      </c>
      <c r="D17" s="4" t="s">
        <v>308</v>
      </c>
      <c r="E17" s="5" t="s">
        <v>554</v>
      </c>
      <c r="F17" s="4"/>
      <c r="G17" s="9" t="s">
        <v>90</v>
      </c>
      <c r="H17" s="5" t="s">
        <v>555</v>
      </c>
      <c r="I17" s="5"/>
      <c r="J17" s="5" t="s">
        <v>556</v>
      </c>
    </row>
    <row r="18" customFormat="false" ht="35.05" hidden="false" customHeight="false" outlineLevel="0" collapsed="false">
      <c r="A18" s="4" t="n">
        <v>14</v>
      </c>
      <c r="B18" s="4" t="s">
        <v>518</v>
      </c>
      <c r="C18" s="4" t="s">
        <v>46</v>
      </c>
      <c r="D18" s="4" t="s">
        <v>300</v>
      </c>
      <c r="E18" s="5" t="s">
        <v>557</v>
      </c>
      <c r="F18" s="4"/>
      <c r="G18" s="9" t="s">
        <v>90</v>
      </c>
      <c r="H18" s="5" t="s">
        <v>558</v>
      </c>
      <c r="I18" s="5"/>
      <c r="J18" s="5" t="s">
        <v>559</v>
      </c>
    </row>
    <row r="19" customFormat="false" ht="79.85" hidden="false" customHeight="false" outlineLevel="0" collapsed="false">
      <c r="A19" s="4" t="n">
        <v>15</v>
      </c>
      <c r="B19" s="4" t="s">
        <v>510</v>
      </c>
      <c r="C19" s="4" t="s">
        <v>46</v>
      </c>
      <c r="D19" s="4" t="s">
        <v>305</v>
      </c>
      <c r="E19" s="5" t="s">
        <v>560</v>
      </c>
      <c r="F19" s="4" t="s">
        <v>512</v>
      </c>
      <c r="G19" s="11" t="s">
        <v>92</v>
      </c>
      <c r="H19" s="5" t="s">
        <v>561</v>
      </c>
      <c r="I19" s="5" t="s">
        <v>562</v>
      </c>
      <c r="J19" s="5" t="s">
        <v>563</v>
      </c>
    </row>
    <row r="20" customFormat="false" ht="91" hidden="false" customHeight="false" outlineLevel="0" collapsed="false">
      <c r="A20" s="4" t="n">
        <v>16</v>
      </c>
      <c r="B20" s="4" t="s">
        <v>522</v>
      </c>
      <c r="C20" s="4" t="s">
        <v>46</v>
      </c>
      <c r="D20" s="4" t="s">
        <v>300</v>
      </c>
      <c r="E20" s="5" t="s">
        <v>564</v>
      </c>
      <c r="F20" s="4" t="s">
        <v>512</v>
      </c>
      <c r="G20" s="11" t="s">
        <v>92</v>
      </c>
      <c r="H20" s="5" t="s">
        <v>565</v>
      </c>
      <c r="I20" s="5" t="s">
        <v>566</v>
      </c>
      <c r="J20" s="5" t="s">
        <v>567</v>
      </c>
    </row>
    <row r="21" customFormat="false" ht="23.85" hidden="false" customHeight="false" outlineLevel="0" collapsed="false">
      <c r="A21" s="4" t="n">
        <v>17</v>
      </c>
      <c r="B21" s="4" t="s">
        <v>510</v>
      </c>
      <c r="C21" s="4" t="s">
        <v>46</v>
      </c>
      <c r="D21" s="4" t="s">
        <v>289</v>
      </c>
      <c r="E21" s="5" t="s">
        <v>568</v>
      </c>
      <c r="F21" s="4"/>
      <c r="G21" s="9" t="s">
        <v>90</v>
      </c>
      <c r="H21" s="5" t="s">
        <v>569</v>
      </c>
      <c r="I21" s="5"/>
      <c r="J21" s="5" t="s">
        <v>570</v>
      </c>
    </row>
    <row r="22" customFormat="false" ht="23.85" hidden="false" customHeight="false" outlineLevel="0" collapsed="false">
      <c r="A22" s="4" t="n">
        <v>18</v>
      </c>
      <c r="B22" s="4" t="s">
        <v>522</v>
      </c>
      <c r="C22" s="4" t="s">
        <v>59</v>
      </c>
      <c r="D22" s="4" t="s">
        <v>462</v>
      </c>
      <c r="E22" s="5" t="s">
        <v>571</v>
      </c>
      <c r="F22" s="4"/>
      <c r="G22" s="9" t="s">
        <v>90</v>
      </c>
      <c r="H22" s="5" t="s">
        <v>572</v>
      </c>
      <c r="I22" s="5"/>
      <c r="J22" s="5" t="s">
        <v>573</v>
      </c>
    </row>
    <row r="23" customFormat="false" ht="46.25" hidden="false" customHeight="false" outlineLevel="0" collapsed="false">
      <c r="A23" s="4" t="n">
        <v>19</v>
      </c>
      <c r="B23" s="4" t="s">
        <v>510</v>
      </c>
      <c r="C23" s="4" t="s">
        <v>55</v>
      </c>
      <c r="D23" s="4" t="s">
        <v>405</v>
      </c>
      <c r="E23" s="5" t="s">
        <v>574</v>
      </c>
      <c r="F23" s="4" t="s">
        <v>512</v>
      </c>
      <c r="G23" s="9" t="s">
        <v>90</v>
      </c>
      <c r="H23" s="5" t="s">
        <v>575</v>
      </c>
      <c r="I23" s="5"/>
      <c r="J23" s="5" t="s">
        <v>576</v>
      </c>
    </row>
    <row r="24" customFormat="false" ht="46.25" hidden="false" customHeight="false" outlineLevel="0" collapsed="false">
      <c r="A24" s="4" t="n">
        <v>20</v>
      </c>
      <c r="B24" s="4" t="s">
        <v>522</v>
      </c>
      <c r="C24" s="4" t="s">
        <v>55</v>
      </c>
      <c r="D24" s="4" t="s">
        <v>439</v>
      </c>
      <c r="E24" s="5" t="s">
        <v>577</v>
      </c>
      <c r="F24" s="4" t="s">
        <v>512</v>
      </c>
      <c r="G24" s="9" t="s">
        <v>90</v>
      </c>
      <c r="H24" s="5" t="s">
        <v>578</v>
      </c>
      <c r="I24" s="5"/>
      <c r="J24" s="5" t="s">
        <v>579</v>
      </c>
    </row>
    <row r="25" customFormat="false" ht="23.85" hidden="false" customHeight="false" outlineLevel="0" collapsed="false">
      <c r="A25" s="4" t="n">
        <v>21</v>
      </c>
      <c r="B25" s="4" t="s">
        <v>522</v>
      </c>
      <c r="C25" s="4" t="s">
        <v>55</v>
      </c>
      <c r="D25" s="4" t="s">
        <v>416</v>
      </c>
      <c r="E25" s="5" t="s">
        <v>580</v>
      </c>
      <c r="F25" s="4"/>
      <c r="G25" s="9" t="s">
        <v>90</v>
      </c>
      <c r="H25" s="5" t="s">
        <v>581</v>
      </c>
      <c r="I25" s="5"/>
      <c r="J25" s="5" t="s">
        <v>582</v>
      </c>
    </row>
    <row r="26" customFormat="false" ht="35.05" hidden="false" customHeight="false" outlineLevel="0" collapsed="false">
      <c r="A26" s="4" t="n">
        <v>22</v>
      </c>
      <c r="B26" s="4" t="s">
        <v>518</v>
      </c>
      <c r="C26" s="4" t="s">
        <v>59</v>
      </c>
      <c r="D26" s="4" t="s">
        <v>468</v>
      </c>
      <c r="E26" s="5" t="s">
        <v>583</v>
      </c>
      <c r="F26" s="4"/>
      <c r="G26" s="9" t="s">
        <v>90</v>
      </c>
      <c r="H26" s="5" t="s">
        <v>584</v>
      </c>
      <c r="I26" s="5"/>
      <c r="J26" s="5" t="s">
        <v>585</v>
      </c>
    </row>
    <row r="27" customFormat="false" ht="23.85" hidden="false" customHeight="false" outlineLevel="0" collapsed="false">
      <c r="A27" s="4" t="n">
        <v>23</v>
      </c>
      <c r="B27" s="4" t="s">
        <v>518</v>
      </c>
      <c r="C27" s="4" t="s">
        <v>42</v>
      </c>
      <c r="D27" s="4" t="s">
        <v>245</v>
      </c>
      <c r="E27" s="5" t="s">
        <v>586</v>
      </c>
      <c r="F27" s="4"/>
      <c r="G27" s="9" t="s">
        <v>90</v>
      </c>
      <c r="H27" s="5" t="s">
        <v>587</v>
      </c>
      <c r="I27" s="5"/>
      <c r="J27" s="5" t="s">
        <v>588</v>
      </c>
    </row>
    <row r="28" customFormat="false" ht="46.25" hidden="false" customHeight="false" outlineLevel="0" collapsed="false">
      <c r="A28" s="4" t="n">
        <v>24</v>
      </c>
      <c r="B28" s="4" t="s">
        <v>522</v>
      </c>
      <c r="C28" s="4" t="s">
        <v>50</v>
      </c>
      <c r="D28" s="4" t="s">
        <v>380</v>
      </c>
      <c r="E28" s="5" t="s">
        <v>589</v>
      </c>
      <c r="F28" s="4" t="s">
        <v>512</v>
      </c>
      <c r="G28" s="9" t="s">
        <v>90</v>
      </c>
      <c r="H28" s="5" t="s">
        <v>590</v>
      </c>
      <c r="I28" s="5"/>
      <c r="J28" s="5" t="s">
        <v>591</v>
      </c>
    </row>
    <row r="29" customFormat="false" ht="46.25" hidden="false" customHeight="false" outlineLevel="0" collapsed="false">
      <c r="A29" s="4" t="n">
        <v>25</v>
      </c>
      <c r="B29" s="4" t="s">
        <v>522</v>
      </c>
      <c r="C29" s="4" t="s">
        <v>42</v>
      </c>
      <c r="D29" s="4" t="s">
        <v>242</v>
      </c>
      <c r="E29" s="5" t="s">
        <v>592</v>
      </c>
      <c r="F29" s="4"/>
      <c r="G29" s="9" t="s">
        <v>90</v>
      </c>
      <c r="H29" s="5" t="s">
        <v>593</v>
      </c>
      <c r="I29" s="5"/>
      <c r="J29" s="5" t="s">
        <v>594</v>
      </c>
    </row>
    <row r="30" customFormat="false" ht="23.85" hidden="false" customHeight="false" outlineLevel="0" collapsed="false">
      <c r="A30" s="4" t="n">
        <v>26</v>
      </c>
      <c r="B30" s="4" t="s">
        <v>518</v>
      </c>
      <c r="C30" s="4" t="s">
        <v>46</v>
      </c>
      <c r="D30" s="4" t="s">
        <v>280</v>
      </c>
      <c r="E30" s="5" t="s">
        <v>595</v>
      </c>
      <c r="F30" s="4"/>
      <c r="G30" s="9" t="s">
        <v>90</v>
      </c>
      <c r="H30" s="5" t="s">
        <v>596</v>
      </c>
      <c r="I30" s="5"/>
      <c r="J30" s="5" t="s">
        <v>597</v>
      </c>
    </row>
    <row r="31" customFormat="false" ht="46.25" hidden="false" customHeight="false" outlineLevel="0" collapsed="false">
      <c r="A31" s="4" t="n">
        <v>27</v>
      </c>
      <c r="B31" s="4" t="s">
        <v>522</v>
      </c>
      <c r="C31" s="4" t="s">
        <v>42</v>
      </c>
      <c r="D31" s="4" t="s">
        <v>256</v>
      </c>
      <c r="E31" s="5" t="s">
        <v>598</v>
      </c>
      <c r="F31" s="4" t="s">
        <v>512</v>
      </c>
      <c r="G31" s="9" t="s">
        <v>90</v>
      </c>
      <c r="H31" s="5" t="s">
        <v>599</v>
      </c>
      <c r="I31" s="5"/>
      <c r="J31" s="5" t="s">
        <v>600</v>
      </c>
    </row>
    <row r="32" customFormat="false" ht="46.25" hidden="false" customHeight="false" outlineLevel="0" collapsed="false">
      <c r="A32" s="4" t="n">
        <v>28</v>
      </c>
      <c r="B32" s="4" t="s">
        <v>510</v>
      </c>
      <c r="C32" s="4" t="s">
        <v>42</v>
      </c>
      <c r="D32" s="4" t="s">
        <v>259</v>
      </c>
      <c r="E32" s="5" t="s">
        <v>601</v>
      </c>
      <c r="F32" s="4" t="s">
        <v>512</v>
      </c>
      <c r="G32" s="9" t="s">
        <v>90</v>
      </c>
      <c r="H32" s="5" t="s">
        <v>602</v>
      </c>
      <c r="I32" s="5"/>
      <c r="J32" s="5" t="s">
        <v>603</v>
      </c>
    </row>
    <row r="33" customFormat="false" ht="23.85" hidden="false" customHeight="false" outlineLevel="0" collapsed="false">
      <c r="A33" s="4" t="n">
        <v>29</v>
      </c>
      <c r="B33" s="4" t="s">
        <v>522</v>
      </c>
      <c r="C33" s="4" t="s">
        <v>42</v>
      </c>
      <c r="D33" s="4" t="s">
        <v>253</v>
      </c>
      <c r="E33" s="5" t="s">
        <v>604</v>
      </c>
      <c r="F33" s="4"/>
      <c r="G33" s="9" t="s">
        <v>90</v>
      </c>
      <c r="H33" s="5" t="s">
        <v>605</v>
      </c>
      <c r="I33" s="5"/>
      <c r="J33" s="5" t="s">
        <v>606</v>
      </c>
    </row>
    <row r="34" customFormat="false" ht="46.25" hidden="false" customHeight="false" outlineLevel="0" collapsed="false">
      <c r="A34" s="4" t="n">
        <v>30</v>
      </c>
      <c r="B34" s="4" t="s">
        <v>522</v>
      </c>
      <c r="C34" s="4" t="s">
        <v>46</v>
      </c>
      <c r="D34" s="4" t="s">
        <v>364</v>
      </c>
      <c r="E34" s="5" t="s">
        <v>607</v>
      </c>
      <c r="F34" s="4" t="s">
        <v>512</v>
      </c>
      <c r="G34" s="9" t="s">
        <v>90</v>
      </c>
      <c r="H34" s="5" t="s">
        <v>608</v>
      </c>
      <c r="I34" s="5"/>
      <c r="J34" s="5" t="s">
        <v>609</v>
      </c>
    </row>
    <row r="35" customFormat="false" ht="46.25" hidden="false" customHeight="false" outlineLevel="0" collapsed="false">
      <c r="A35" s="4" t="n">
        <v>31</v>
      </c>
      <c r="B35" s="4" t="s">
        <v>522</v>
      </c>
      <c r="C35" s="4" t="s">
        <v>55</v>
      </c>
      <c r="D35" s="4" t="s">
        <v>411</v>
      </c>
      <c r="E35" s="5" t="s">
        <v>610</v>
      </c>
      <c r="F35" s="4"/>
      <c r="G35" s="9" t="s">
        <v>90</v>
      </c>
      <c r="H35" s="5" t="s">
        <v>611</v>
      </c>
      <c r="I35" s="5"/>
      <c r="J35" s="5" t="s">
        <v>612</v>
      </c>
    </row>
    <row r="36" customFormat="false" ht="35.05" hidden="false" customHeight="false" outlineLevel="0" collapsed="false">
      <c r="A36" s="4" t="n">
        <v>32</v>
      </c>
      <c r="B36" s="4" t="s">
        <v>510</v>
      </c>
      <c r="C36" s="4" t="s">
        <v>46</v>
      </c>
      <c r="D36" s="4" t="s">
        <v>308</v>
      </c>
      <c r="E36" s="5" t="s">
        <v>613</v>
      </c>
      <c r="F36" s="4"/>
      <c r="G36" s="9" t="s">
        <v>90</v>
      </c>
      <c r="H36" s="5" t="s">
        <v>614</v>
      </c>
      <c r="I36" s="5"/>
      <c r="J36" s="5" t="s">
        <v>615</v>
      </c>
    </row>
    <row r="37" customFormat="false" ht="23.85" hidden="false" customHeight="false" outlineLevel="0" collapsed="false">
      <c r="A37" s="4" t="n">
        <v>33</v>
      </c>
      <c r="B37" s="4" t="s">
        <v>518</v>
      </c>
      <c r="C37" s="4" t="s">
        <v>50</v>
      </c>
      <c r="D37" s="4" t="s">
        <v>374</v>
      </c>
      <c r="E37" s="5" t="s">
        <v>616</v>
      </c>
      <c r="F37" s="4"/>
      <c r="G37" s="9" t="s">
        <v>90</v>
      </c>
      <c r="H37" s="5" t="s">
        <v>617</v>
      </c>
      <c r="I37" s="5"/>
      <c r="J37" s="5" t="s">
        <v>618</v>
      </c>
    </row>
    <row r="38" customFormat="false" ht="23.85" hidden="false" customHeight="false" outlineLevel="0" collapsed="false">
      <c r="A38" s="4" t="n">
        <v>34</v>
      </c>
      <c r="B38" s="4" t="s">
        <v>518</v>
      </c>
      <c r="C38" s="4" t="s">
        <v>37</v>
      </c>
      <c r="D38" s="4" t="s">
        <v>167</v>
      </c>
      <c r="E38" s="5" t="s">
        <v>619</v>
      </c>
      <c r="F38" s="4"/>
      <c r="G38" s="9" t="s">
        <v>90</v>
      </c>
      <c r="H38" s="5" t="s">
        <v>620</v>
      </c>
      <c r="I38" s="5"/>
      <c r="J38" s="5" t="s">
        <v>550</v>
      </c>
    </row>
    <row r="39" customFormat="false" ht="23.85" hidden="false" customHeight="false" outlineLevel="0" collapsed="false">
      <c r="A39" s="4" t="n">
        <v>35</v>
      </c>
      <c r="B39" s="4" t="s">
        <v>510</v>
      </c>
      <c r="C39" s="4" t="s">
        <v>42</v>
      </c>
      <c r="D39" s="4" t="s">
        <v>239</v>
      </c>
      <c r="E39" s="5" t="s">
        <v>621</v>
      </c>
      <c r="F39" s="4"/>
      <c r="G39" s="9" t="s">
        <v>90</v>
      </c>
      <c r="H39" s="5" t="s">
        <v>622</v>
      </c>
      <c r="I39" s="5"/>
      <c r="J39" s="5" t="s">
        <v>623</v>
      </c>
    </row>
    <row r="40" customFormat="false" ht="23.85" hidden="false" customHeight="false" outlineLevel="0" collapsed="false">
      <c r="A40" s="4" t="n">
        <v>36</v>
      </c>
      <c r="B40" s="4" t="s">
        <v>522</v>
      </c>
      <c r="C40" s="4" t="s">
        <v>55</v>
      </c>
      <c r="D40" s="4" t="s">
        <v>624</v>
      </c>
      <c r="E40" s="5" t="s">
        <v>625</v>
      </c>
      <c r="F40" s="4"/>
      <c r="G40" s="9" t="s">
        <v>90</v>
      </c>
      <c r="H40" s="5" t="s">
        <v>626</v>
      </c>
      <c r="I40" s="5"/>
      <c r="J40" s="5" t="s">
        <v>550</v>
      </c>
    </row>
    <row r="41" customFormat="false" ht="46.25" hidden="false" customHeight="false" outlineLevel="0" collapsed="false">
      <c r="A41" s="4" t="n">
        <v>37</v>
      </c>
      <c r="B41" s="4" t="s">
        <v>510</v>
      </c>
      <c r="C41" s="4" t="s">
        <v>55</v>
      </c>
      <c r="D41" s="4" t="s">
        <v>439</v>
      </c>
      <c r="E41" s="5" t="s">
        <v>627</v>
      </c>
      <c r="F41" s="4" t="s">
        <v>512</v>
      </c>
      <c r="G41" s="9" t="s">
        <v>90</v>
      </c>
      <c r="H41" s="5" t="s">
        <v>628</v>
      </c>
      <c r="I41" s="5"/>
      <c r="J41" s="5" t="s">
        <v>629</v>
      </c>
    </row>
    <row r="42" customFormat="false" ht="46.25" hidden="false" customHeight="false" outlineLevel="0" collapsed="false">
      <c r="A42" s="4" t="n">
        <v>38</v>
      </c>
      <c r="B42" s="4" t="s">
        <v>510</v>
      </c>
      <c r="C42" s="4" t="s">
        <v>46</v>
      </c>
      <c r="D42" s="4" t="s">
        <v>305</v>
      </c>
      <c r="E42" s="5" t="s">
        <v>630</v>
      </c>
      <c r="F42" s="4"/>
      <c r="G42" s="9" t="s">
        <v>90</v>
      </c>
      <c r="H42" s="5" t="s">
        <v>631</v>
      </c>
      <c r="I42" s="5"/>
      <c r="J42" s="5" t="s">
        <v>632</v>
      </c>
    </row>
    <row r="43" customFormat="false" ht="46.25" hidden="false" customHeight="false" outlineLevel="0" collapsed="false">
      <c r="A43" s="4" t="n">
        <v>39</v>
      </c>
      <c r="B43" s="4" t="s">
        <v>522</v>
      </c>
      <c r="C43" s="4" t="s">
        <v>42</v>
      </c>
      <c r="D43" s="4" t="s">
        <v>633</v>
      </c>
      <c r="E43" s="5" t="s">
        <v>634</v>
      </c>
      <c r="F43" s="4"/>
      <c r="G43" s="9" t="s">
        <v>90</v>
      </c>
      <c r="H43" s="5" t="s">
        <v>635</v>
      </c>
      <c r="I43" s="5"/>
      <c r="J43" s="5" t="s">
        <v>636</v>
      </c>
    </row>
    <row r="44" customFormat="false" ht="46.25" hidden="false" customHeight="false" outlineLevel="0" collapsed="false">
      <c r="A44" s="4" t="n">
        <v>40</v>
      </c>
      <c r="B44" s="4" t="s">
        <v>522</v>
      </c>
      <c r="C44" s="4" t="s">
        <v>46</v>
      </c>
      <c r="D44" s="4" t="s">
        <v>289</v>
      </c>
      <c r="E44" s="5" t="s">
        <v>637</v>
      </c>
      <c r="F44" s="4"/>
      <c r="G44" s="9" t="s">
        <v>90</v>
      </c>
      <c r="H44" s="5" t="s">
        <v>638</v>
      </c>
      <c r="I44" s="5"/>
      <c r="J44" s="5" t="s">
        <v>639</v>
      </c>
    </row>
    <row r="45" customFormat="false" ht="23.85" hidden="false" customHeight="false" outlineLevel="0" collapsed="false">
      <c r="A45" s="4" t="n">
        <v>41</v>
      </c>
      <c r="B45" s="4" t="s">
        <v>510</v>
      </c>
      <c r="C45" s="4" t="s">
        <v>46</v>
      </c>
      <c r="D45" s="4" t="s">
        <v>289</v>
      </c>
      <c r="E45" s="5" t="s">
        <v>640</v>
      </c>
      <c r="F45" s="4"/>
      <c r="G45" s="9" t="s">
        <v>90</v>
      </c>
      <c r="H45" s="5" t="s">
        <v>641</v>
      </c>
      <c r="I45" s="5"/>
      <c r="J45" s="5" t="s">
        <v>642</v>
      </c>
    </row>
    <row r="46" customFormat="false" ht="46.25" hidden="false" customHeight="false" outlineLevel="0" collapsed="false">
      <c r="A46" s="4" t="n">
        <v>42</v>
      </c>
      <c r="B46" s="4" t="s">
        <v>522</v>
      </c>
      <c r="C46" s="4" t="s">
        <v>42</v>
      </c>
      <c r="D46" s="4" t="s">
        <v>259</v>
      </c>
      <c r="E46" s="5" t="s">
        <v>643</v>
      </c>
      <c r="F46" s="4" t="s">
        <v>512</v>
      </c>
      <c r="G46" s="9" t="s">
        <v>90</v>
      </c>
      <c r="H46" s="5" t="s">
        <v>644</v>
      </c>
      <c r="I46" s="5"/>
      <c r="J46" s="5" t="s">
        <v>645</v>
      </c>
    </row>
    <row r="47" customFormat="false" ht="46.25" hidden="false" customHeight="false" outlineLevel="0" collapsed="false">
      <c r="A47" s="4" t="n">
        <v>43</v>
      </c>
      <c r="B47" s="4" t="s">
        <v>518</v>
      </c>
      <c r="C47" s="4" t="s">
        <v>42</v>
      </c>
      <c r="D47" s="4" t="s">
        <v>256</v>
      </c>
      <c r="E47" s="5" t="s">
        <v>646</v>
      </c>
      <c r="F47" s="4" t="s">
        <v>512</v>
      </c>
      <c r="G47" s="9" t="s">
        <v>90</v>
      </c>
      <c r="H47" s="5" t="s">
        <v>647</v>
      </c>
      <c r="I47" s="5"/>
      <c r="J47" s="5" t="s">
        <v>648</v>
      </c>
    </row>
    <row r="48" customFormat="false" ht="46.25" hidden="false" customHeight="false" outlineLevel="0" collapsed="false">
      <c r="A48" s="4" t="n">
        <v>44</v>
      </c>
      <c r="B48" s="4" t="s">
        <v>518</v>
      </c>
      <c r="C48" s="4" t="s">
        <v>42</v>
      </c>
      <c r="D48" s="4" t="s">
        <v>649</v>
      </c>
      <c r="E48" s="5" t="s">
        <v>650</v>
      </c>
      <c r="F48" s="4" t="s">
        <v>512</v>
      </c>
      <c r="G48" s="9" t="s">
        <v>90</v>
      </c>
      <c r="H48" s="5" t="s">
        <v>651</v>
      </c>
      <c r="I48" s="5"/>
      <c r="J48" s="5" t="s">
        <v>652</v>
      </c>
    </row>
    <row r="49" customFormat="false" ht="23.85" hidden="false" customHeight="false" outlineLevel="0" collapsed="false">
      <c r="A49" s="4" t="n">
        <v>45</v>
      </c>
      <c r="B49" s="4" t="s">
        <v>510</v>
      </c>
      <c r="C49" s="4" t="s">
        <v>46</v>
      </c>
      <c r="D49" s="4" t="s">
        <v>653</v>
      </c>
      <c r="E49" s="5" t="s">
        <v>654</v>
      </c>
      <c r="F49" s="4"/>
      <c r="G49" s="9" t="s">
        <v>90</v>
      </c>
      <c r="H49" s="5" t="s">
        <v>655</v>
      </c>
      <c r="I49" s="5"/>
      <c r="J49" s="5" t="s">
        <v>550</v>
      </c>
    </row>
    <row r="50" customFormat="false" ht="68.65" hidden="false" customHeight="false" outlineLevel="0" collapsed="false">
      <c r="A50" s="4" t="n">
        <v>46</v>
      </c>
      <c r="B50" s="4" t="s">
        <v>522</v>
      </c>
      <c r="C50" s="4" t="s">
        <v>32</v>
      </c>
      <c r="D50" s="4" t="s">
        <v>154</v>
      </c>
      <c r="E50" s="5" t="s">
        <v>656</v>
      </c>
      <c r="F50" s="4"/>
      <c r="G50" s="11" t="s">
        <v>92</v>
      </c>
      <c r="H50" s="5" t="s">
        <v>657</v>
      </c>
      <c r="I50" s="5" t="s">
        <v>658</v>
      </c>
      <c r="J50" s="5" t="s">
        <v>659</v>
      </c>
    </row>
    <row r="51" customFormat="false" ht="46.25" hidden="false" customHeight="false" outlineLevel="0" collapsed="false">
      <c r="A51" s="4" t="n">
        <v>47</v>
      </c>
      <c r="B51" s="4" t="s">
        <v>522</v>
      </c>
      <c r="C51" s="4" t="s">
        <v>46</v>
      </c>
      <c r="D51" s="4" t="s">
        <v>308</v>
      </c>
      <c r="E51" s="5" t="s">
        <v>660</v>
      </c>
      <c r="F51" s="4" t="s">
        <v>512</v>
      </c>
      <c r="G51" s="9" t="s">
        <v>90</v>
      </c>
      <c r="H51" s="5" t="s">
        <v>661</v>
      </c>
      <c r="I51" s="5"/>
      <c r="J51" s="5" t="s">
        <v>662</v>
      </c>
    </row>
    <row r="52" customFormat="false" ht="79.85" hidden="false" customHeight="false" outlineLevel="0" collapsed="false">
      <c r="A52" s="4" t="n">
        <v>48</v>
      </c>
      <c r="B52" s="4" t="s">
        <v>522</v>
      </c>
      <c r="C52" s="4" t="s">
        <v>42</v>
      </c>
      <c r="D52" s="4" t="s">
        <v>663</v>
      </c>
      <c r="E52" s="5" t="s">
        <v>664</v>
      </c>
      <c r="F52" s="4"/>
      <c r="G52" s="11" t="s">
        <v>92</v>
      </c>
      <c r="H52" s="5" t="s">
        <v>665</v>
      </c>
      <c r="I52" s="5" t="s">
        <v>666</v>
      </c>
      <c r="J52" s="5" t="s">
        <v>667</v>
      </c>
    </row>
    <row r="53" customFormat="false" ht="46.25" hidden="false" customHeight="false" outlineLevel="0" collapsed="false">
      <c r="A53" s="4" t="n">
        <v>49</v>
      </c>
      <c r="B53" s="4" t="s">
        <v>510</v>
      </c>
      <c r="C53" s="4" t="s">
        <v>46</v>
      </c>
      <c r="D53" s="4" t="s">
        <v>668</v>
      </c>
      <c r="E53" s="5" t="s">
        <v>669</v>
      </c>
      <c r="F53" s="4" t="s">
        <v>512</v>
      </c>
      <c r="G53" s="9" t="s">
        <v>90</v>
      </c>
      <c r="H53" s="5" t="s">
        <v>670</v>
      </c>
      <c r="I53" s="5"/>
      <c r="J53" s="5" t="s">
        <v>671</v>
      </c>
    </row>
    <row r="54" customFormat="false" ht="79.85" hidden="false" customHeight="false" outlineLevel="0" collapsed="false">
      <c r="A54" s="4" t="n">
        <v>50</v>
      </c>
      <c r="B54" s="4" t="s">
        <v>522</v>
      </c>
      <c r="C54" s="4" t="s">
        <v>42</v>
      </c>
      <c r="D54" s="4" t="s">
        <v>256</v>
      </c>
      <c r="E54" s="5" t="s">
        <v>672</v>
      </c>
      <c r="F54" s="4" t="s">
        <v>512</v>
      </c>
      <c r="G54" s="11" t="s">
        <v>92</v>
      </c>
      <c r="H54" s="5" t="s">
        <v>673</v>
      </c>
      <c r="I54" s="5" t="s">
        <v>674</v>
      </c>
      <c r="J54" s="5" t="s">
        <v>675</v>
      </c>
    </row>
    <row r="55" customFormat="false" ht="46.25" hidden="false" customHeight="false" outlineLevel="0" collapsed="false">
      <c r="A55" s="4" t="n">
        <v>51</v>
      </c>
      <c r="B55" s="4" t="s">
        <v>522</v>
      </c>
      <c r="C55" s="4" t="s">
        <v>42</v>
      </c>
      <c r="D55" s="4" t="s">
        <v>256</v>
      </c>
      <c r="E55" s="5" t="s">
        <v>676</v>
      </c>
      <c r="F55" s="4" t="s">
        <v>512</v>
      </c>
      <c r="G55" s="9" t="s">
        <v>90</v>
      </c>
      <c r="H55" s="5" t="s">
        <v>677</v>
      </c>
      <c r="I55" s="5"/>
      <c r="J55" s="5" t="s">
        <v>678</v>
      </c>
    </row>
    <row r="56" customFormat="false" ht="46.25" hidden="false" customHeight="false" outlineLevel="0" collapsed="false">
      <c r="A56" s="4" t="n">
        <v>52</v>
      </c>
      <c r="B56" s="4" t="s">
        <v>510</v>
      </c>
      <c r="C56" s="4" t="s">
        <v>42</v>
      </c>
      <c r="D56" s="4" t="s">
        <v>649</v>
      </c>
      <c r="E56" s="5" t="s">
        <v>679</v>
      </c>
      <c r="F56" s="4" t="s">
        <v>512</v>
      </c>
      <c r="G56" s="9" t="s">
        <v>90</v>
      </c>
      <c r="H56" s="5" t="s">
        <v>680</v>
      </c>
      <c r="I56" s="5"/>
      <c r="J56" s="5" t="s">
        <v>681</v>
      </c>
    </row>
    <row r="57" customFormat="false" ht="23.85" hidden="false" customHeight="false" outlineLevel="0" collapsed="false">
      <c r="A57" s="4" t="n">
        <v>53</v>
      </c>
      <c r="B57" s="4" t="s">
        <v>518</v>
      </c>
      <c r="C57" s="4" t="s">
        <v>46</v>
      </c>
      <c r="D57" s="4" t="s">
        <v>289</v>
      </c>
      <c r="E57" s="5" t="s">
        <v>682</v>
      </c>
      <c r="F57" s="4" t="s">
        <v>512</v>
      </c>
      <c r="G57" s="9" t="s">
        <v>90</v>
      </c>
      <c r="H57" s="5" t="s">
        <v>683</v>
      </c>
      <c r="I57" s="5"/>
      <c r="J57" s="5" t="s">
        <v>684</v>
      </c>
    </row>
    <row r="58" customFormat="false" ht="35.05" hidden="false" customHeight="false" outlineLevel="0" collapsed="false">
      <c r="A58" s="4" t="n">
        <v>54</v>
      </c>
      <c r="B58" s="4" t="s">
        <v>518</v>
      </c>
      <c r="C58" s="4" t="s">
        <v>46</v>
      </c>
      <c r="D58" s="4" t="s">
        <v>685</v>
      </c>
      <c r="E58" s="5" t="s">
        <v>686</v>
      </c>
      <c r="F58" s="4" t="s">
        <v>512</v>
      </c>
      <c r="G58" s="9" t="s">
        <v>90</v>
      </c>
      <c r="H58" s="5" t="s">
        <v>687</v>
      </c>
      <c r="I58" s="5"/>
      <c r="J58" s="5" t="s">
        <v>688</v>
      </c>
    </row>
    <row r="59" customFormat="false" ht="35.05" hidden="false" customHeight="false" outlineLevel="0" collapsed="false">
      <c r="A59" s="4" t="n">
        <v>55</v>
      </c>
      <c r="B59" s="4" t="s">
        <v>510</v>
      </c>
      <c r="C59" s="4" t="s">
        <v>46</v>
      </c>
      <c r="D59" s="4" t="s">
        <v>289</v>
      </c>
      <c r="E59" s="5" t="s">
        <v>689</v>
      </c>
      <c r="F59" s="4" t="s">
        <v>512</v>
      </c>
      <c r="G59" s="9" t="s">
        <v>90</v>
      </c>
      <c r="H59" s="5" t="s">
        <v>690</v>
      </c>
      <c r="I59" s="5"/>
      <c r="J59" s="5" t="s">
        <v>691</v>
      </c>
    </row>
    <row r="60" customFormat="false" ht="46.25" hidden="false" customHeight="false" outlineLevel="0" collapsed="false">
      <c r="A60" s="4" t="n">
        <v>56</v>
      </c>
      <c r="B60" s="4" t="s">
        <v>510</v>
      </c>
      <c r="C60" s="4" t="s">
        <v>46</v>
      </c>
      <c r="D60" s="4" t="s">
        <v>692</v>
      </c>
      <c r="E60" s="5" t="s">
        <v>693</v>
      </c>
      <c r="F60" s="4" t="s">
        <v>512</v>
      </c>
      <c r="G60" s="9" t="s">
        <v>90</v>
      </c>
      <c r="H60" s="5" t="s">
        <v>694</v>
      </c>
      <c r="I60" s="5"/>
      <c r="J60" s="5" t="s">
        <v>695</v>
      </c>
    </row>
    <row r="61" customFormat="false" ht="23.85" hidden="false" customHeight="false" outlineLevel="0" collapsed="false">
      <c r="A61" s="4" t="n">
        <v>57</v>
      </c>
      <c r="B61" s="4" t="s">
        <v>510</v>
      </c>
      <c r="C61" s="4" t="s">
        <v>46</v>
      </c>
      <c r="D61" s="4" t="s">
        <v>305</v>
      </c>
      <c r="E61" s="5" t="s">
        <v>696</v>
      </c>
      <c r="F61" s="4"/>
      <c r="G61" s="9" t="s">
        <v>90</v>
      </c>
      <c r="H61" s="5" t="s">
        <v>697</v>
      </c>
      <c r="I61" s="5"/>
      <c r="J61" s="5" t="s">
        <v>698</v>
      </c>
    </row>
    <row r="62" customFormat="false" ht="46.25" hidden="false" customHeight="false" outlineLevel="0" collapsed="false">
      <c r="A62" s="4" t="n">
        <v>58</v>
      </c>
      <c r="B62" s="4" t="s">
        <v>510</v>
      </c>
      <c r="C62" s="4" t="s">
        <v>50</v>
      </c>
      <c r="D62" s="4" t="s">
        <v>383</v>
      </c>
      <c r="E62" s="5" t="s">
        <v>699</v>
      </c>
      <c r="F62" s="4"/>
      <c r="G62" s="9" t="s">
        <v>90</v>
      </c>
      <c r="H62" s="5" t="s">
        <v>700</v>
      </c>
      <c r="I62" s="5"/>
      <c r="J62" s="5" t="s">
        <v>550</v>
      </c>
    </row>
    <row r="63" customFormat="false" ht="46.25" hidden="false" customHeight="false" outlineLevel="0" collapsed="false">
      <c r="A63" s="4" t="n">
        <v>59</v>
      </c>
      <c r="B63" s="4" t="s">
        <v>518</v>
      </c>
      <c r="C63" s="4" t="s">
        <v>46</v>
      </c>
      <c r="D63" s="4" t="s">
        <v>701</v>
      </c>
      <c r="E63" s="5" t="s">
        <v>702</v>
      </c>
      <c r="F63" s="4"/>
      <c r="G63" s="9" t="s">
        <v>90</v>
      </c>
      <c r="H63" s="5" t="s">
        <v>703</v>
      </c>
      <c r="I63" s="5"/>
      <c r="J63" s="5" t="s">
        <v>704</v>
      </c>
    </row>
    <row r="64" customFormat="false" ht="91" hidden="false" customHeight="false" outlineLevel="0" collapsed="false">
      <c r="A64" s="4" t="n">
        <v>60</v>
      </c>
      <c r="B64" s="4" t="s">
        <v>522</v>
      </c>
      <c r="C64" s="4" t="s">
        <v>59</v>
      </c>
      <c r="D64" s="4" t="s">
        <v>490</v>
      </c>
      <c r="E64" s="5" t="s">
        <v>705</v>
      </c>
      <c r="F64" s="4"/>
      <c r="G64" s="11" t="s">
        <v>92</v>
      </c>
      <c r="H64" s="5" t="s">
        <v>706</v>
      </c>
      <c r="I64" s="5" t="s">
        <v>707</v>
      </c>
      <c r="J64" s="5" t="s">
        <v>708</v>
      </c>
    </row>
  </sheetData>
  <autoFilter ref="A4:J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6.15" hidden="false" customHeight="false" outlineLevel="0" collapsed="false">
      <c r="A1" s="7" t="s">
        <v>709</v>
      </c>
    </row>
    <row r="3" customFormat="false" ht="43.5" hidden="false" customHeight="true" outlineLevel="0" collapsed="false">
      <c r="A3" s="19" t="s">
        <v>710</v>
      </c>
      <c r="B3" s="20" t="s">
        <v>711</v>
      </c>
    </row>
    <row r="4" customFormat="false" ht="43.5" hidden="false" customHeight="true" outlineLevel="0" collapsed="false">
      <c r="A4" s="19" t="s">
        <v>712</v>
      </c>
      <c r="B4" s="20" t="s">
        <v>713</v>
      </c>
    </row>
    <row r="5" customFormat="false" ht="43.5" hidden="false" customHeight="true" outlineLevel="0" collapsed="false">
      <c r="A5" s="19" t="s">
        <v>714</v>
      </c>
      <c r="B5" s="20" t="s">
        <v>715</v>
      </c>
    </row>
    <row r="6" customFormat="false" ht="43.5" hidden="false" customHeight="true" outlineLevel="0" collapsed="false">
      <c r="A6" s="19" t="s">
        <v>716</v>
      </c>
      <c r="B6" s="20" t="s">
        <v>717</v>
      </c>
    </row>
    <row r="7" customFormat="false" ht="43.5" hidden="false" customHeight="true" outlineLevel="0" collapsed="false">
      <c r="A7" s="19" t="s">
        <v>718</v>
      </c>
      <c r="B7" s="20" t="s">
        <v>719</v>
      </c>
    </row>
    <row r="8" customFormat="false" ht="43.5" hidden="false" customHeight="true" outlineLevel="0" collapsed="false">
      <c r="A8" s="19" t="s">
        <v>720</v>
      </c>
      <c r="B8" s="20" t="s">
        <v>721</v>
      </c>
    </row>
    <row r="9" customFormat="false" ht="43.5" hidden="false" customHeight="true" outlineLevel="0" collapsed="false">
      <c r="A9" s="19" t="s">
        <v>722</v>
      </c>
      <c r="B9" s="20" t="s">
        <v>723</v>
      </c>
    </row>
    <row r="10" customFormat="false" ht="43.5" hidden="false" customHeight="true" outlineLevel="0" collapsed="false">
      <c r="A10" s="19" t="s">
        <v>724</v>
      </c>
      <c r="B10" s="20" t="s">
        <v>725</v>
      </c>
    </row>
    <row r="11" customFormat="false" ht="43.5" hidden="false" customHeight="true" outlineLevel="0" collapsed="false">
      <c r="A11" s="19" t="s">
        <v>726</v>
      </c>
      <c r="B11" s="20" t="s">
        <v>727</v>
      </c>
    </row>
    <row r="12" customFormat="false" ht="43.5" hidden="false" customHeight="true" outlineLevel="0" collapsed="false">
      <c r="A12" s="19" t="s">
        <v>728</v>
      </c>
      <c r="B12" s="20" t="s">
        <v>729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2026-08-16T16:43:02Z</dcterms:created>
  <dc:creator>openpyxl</dc:creator>
  <dc:description/>
  <dc:language>en-US</dc:language>
  <cp:lastModifiedBy/>
  <dcterms:modified xsi:type="dcterms:W3CDTF">2026-08-16T16:43:02Z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